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AIN SHEET" sheetId="1" r:id="rId5"/>
    <sheet state="hidden" name="MVP" sheetId="2" r:id="rId6"/>
    <sheet state="hidden" name="GRANDS MVP" sheetId="3" r:id="rId7"/>
    <sheet state="hidden" name="GRANDS PT" sheetId="4" r:id="rId8"/>
    <sheet state="visible" name="Sheet7" sheetId="5" r:id="rId9"/>
    <sheet state="visible" name="Copy of Sheet7" sheetId="6" r:id="rId10"/>
    <sheet state="visible" name="Sheet8" sheetId="7" r:id="rId11"/>
    <sheet state="visible" name="Copy of Sheet8" sheetId="8" r:id="rId12"/>
    <sheet state="hidden" name="LEAGUE DAY 1" sheetId="9" r:id="rId13"/>
    <sheet state="hidden" name="LEAGUE DAY 2" sheetId="10" r:id="rId14"/>
    <sheet state="hidden" name="LEAGUE DAY 3" sheetId="11" r:id="rId15"/>
  </sheets>
  <definedNames>
    <definedName hidden="1" localSheetId="8" name="_xlnm._FilterDatabase">'LEAGUE DAY 1'!$C$3:$F$15</definedName>
  </definedNames>
  <calcPr/>
</workbook>
</file>

<file path=xl/sharedStrings.xml><?xml version="1.0" encoding="utf-8"?>
<sst xmlns="http://schemas.openxmlformats.org/spreadsheetml/2006/main" count="1089" uniqueCount="313">
  <si>
    <t>M1</t>
  </si>
  <si>
    <t>M2</t>
  </si>
  <si>
    <t>M3</t>
  </si>
  <si>
    <t>M4</t>
  </si>
  <si>
    <t>#</t>
  </si>
  <si>
    <t>PREFIX</t>
  </si>
  <si>
    <t>P</t>
  </si>
  <si>
    <t>K</t>
  </si>
  <si>
    <t>T</t>
  </si>
  <si>
    <t>IQOOTG</t>
  </si>
  <si>
    <t>MVP</t>
  </si>
  <si>
    <t>4R</t>
  </si>
  <si>
    <t>AG</t>
  </si>
  <si>
    <t>Z`</t>
  </si>
  <si>
    <t>REX</t>
  </si>
  <si>
    <t>JRG</t>
  </si>
  <si>
    <t>WNT</t>
  </si>
  <si>
    <t>VG</t>
  </si>
  <si>
    <t xml:space="preserve">   </t>
  </si>
  <si>
    <t>KRGR</t>
  </si>
  <si>
    <t>XM</t>
  </si>
  <si>
    <t>S8UL</t>
  </si>
  <si>
    <t>TT</t>
  </si>
  <si>
    <t>M5</t>
  </si>
  <si>
    <t>M6</t>
  </si>
  <si>
    <t>UNSORTED</t>
  </si>
  <si>
    <t>WINTER WAR | SEASON 2| GRANDFINAL</t>
  </si>
  <si>
    <t>TEAM NAME</t>
  </si>
  <si>
    <t>BOOYAH</t>
  </si>
  <si>
    <t>MATCHES</t>
  </si>
  <si>
    <t>POS</t>
  </si>
  <si>
    <t>ELIMS</t>
  </si>
  <si>
    <t>TOTAL</t>
  </si>
  <si>
    <t>Total Gaming</t>
  </si>
  <si>
    <t>Crimson havocs</t>
  </si>
  <si>
    <t>S8ULxELITE</t>
  </si>
  <si>
    <t>WE NEVER TRUST</t>
  </si>
  <si>
    <t>REX ESPORTS</t>
  </si>
  <si>
    <t>AURA GAMING</t>
  </si>
  <si>
    <t>JRG ESPORTS</t>
  </si>
  <si>
    <t>HELPING GAMER</t>
  </si>
  <si>
    <t>WNT ESPORTS</t>
  </si>
  <si>
    <t xml:space="preserve"> VOLTER GAMING </t>
  </si>
  <si>
    <t>HUNT ESPORTS</t>
  </si>
  <si>
    <t xml:space="preserve"> Team TYCOONS</t>
  </si>
  <si>
    <t>DONT TOUCH</t>
  </si>
  <si>
    <t xml:space="preserve">TEAM NAME - TOTAL GAMING </t>
  </si>
  <si>
    <t xml:space="preserve">IGN </t>
  </si>
  <si>
    <t xml:space="preserve">MATCH 1 </t>
  </si>
  <si>
    <t>MATCH 2</t>
  </si>
  <si>
    <t>MATCH 3</t>
  </si>
  <si>
    <t>MATCH 4</t>
  </si>
  <si>
    <t xml:space="preserve">MATCH 5 </t>
  </si>
  <si>
    <t>MATCH 6</t>
  </si>
  <si>
    <t xml:space="preserve">TOTAL </t>
  </si>
  <si>
    <t xml:space="preserve">OVERALL TOTAL </t>
  </si>
  <si>
    <t>CONTRI</t>
  </si>
  <si>
    <t>iqooTgMAFIA7</t>
  </si>
  <si>
    <t>sno.</t>
  </si>
  <si>
    <t xml:space="preserve"> KILLS</t>
  </si>
  <si>
    <t xml:space="preserve">CONTRIBUTION </t>
  </si>
  <si>
    <t>IQOOTGDelete</t>
  </si>
  <si>
    <t>IQOOTGShoto</t>
  </si>
  <si>
    <t>TG ROY</t>
  </si>
  <si>
    <t>S8ULxHASAN</t>
  </si>
  <si>
    <t>S8UL.PAHADI</t>
  </si>
  <si>
    <t>KRGR.SAKSHAM</t>
  </si>
  <si>
    <t>TEAM NAME - S8ULXELITE</t>
  </si>
  <si>
    <t>S8UL.ARMAN19</t>
  </si>
  <si>
    <t>S8UL.ADEEB09</t>
  </si>
  <si>
    <t>TEAM NAME - REX ESPORTS</t>
  </si>
  <si>
    <t>JayCanSolo?</t>
  </si>
  <si>
    <t>REX.ARJUN17!</t>
  </si>
  <si>
    <t>REX.ALONECr7</t>
  </si>
  <si>
    <t>Justin</t>
  </si>
  <si>
    <t xml:space="preserve">TEAM NAME - AURA GAMING </t>
  </si>
  <si>
    <t>AG-SUJAL77</t>
  </si>
  <si>
    <t>Mxcro Xx !!</t>
  </si>
  <si>
    <t>xfang87</t>
  </si>
  <si>
    <t>Myth.eclipse</t>
  </si>
  <si>
    <t xml:space="preserve">TEAM NAME - WE NEVER TRUST ESPORTS </t>
  </si>
  <si>
    <t>4R STROMM!!</t>
  </si>
  <si>
    <t>SmkyCanSolo!</t>
  </si>
  <si>
    <t>Legitt.09</t>
  </si>
  <si>
    <t>GRVx18</t>
  </si>
  <si>
    <t>TEAM NAME -  HELPING GAMER</t>
  </si>
  <si>
    <t>Lostin.SID7</t>
  </si>
  <si>
    <t>KRGR.HOPE</t>
  </si>
  <si>
    <t>KRGR.ABHI1</t>
  </si>
  <si>
    <t xml:space="preserve">TEAM NAME - K9 ESPORTS </t>
  </si>
  <si>
    <t>TL.AnshuJR</t>
  </si>
  <si>
    <t>X.ICONIC</t>
  </si>
  <si>
    <t>TL.YUNO</t>
  </si>
  <si>
    <t>satyamPrime</t>
  </si>
  <si>
    <t>SiDAK.07</t>
  </si>
  <si>
    <t>RACS-KiD.26</t>
  </si>
  <si>
    <t>HUZAFIAprime</t>
  </si>
  <si>
    <t>TEAM NAME - AURA GAMING</t>
  </si>
  <si>
    <t>legend prime</t>
  </si>
  <si>
    <t>VIGHNESH</t>
  </si>
  <si>
    <t xml:space="preserve">TEAM NAME - TEAM X </t>
  </si>
  <si>
    <t>X.KING777</t>
  </si>
  <si>
    <t>X.SAFIKKK</t>
  </si>
  <si>
    <t>UN RAUNAK</t>
  </si>
  <si>
    <t>TEAM NAME - iQOO OGXTSG</t>
  </si>
  <si>
    <t>iQTSG.ARJUNN</t>
  </si>
  <si>
    <t>iQOOG.krish</t>
  </si>
  <si>
    <t>iQOOG.AAYUSH</t>
  </si>
  <si>
    <t>iQ.TSGLEGEND</t>
  </si>
  <si>
    <t xml:space="preserve">TEAM NAME - GDR PROS </t>
  </si>
  <si>
    <t>GDR.CHOUDHRY</t>
  </si>
  <si>
    <t>GDR.Cropse77</t>
  </si>
  <si>
    <t>GDR.AnubhaV</t>
  </si>
  <si>
    <t>GDR.MANNU</t>
  </si>
  <si>
    <t>TEAM NAME -  ZUTSU GAMING</t>
  </si>
  <si>
    <t>Ti.Botgod</t>
  </si>
  <si>
    <t>Ti.Harsh</t>
  </si>
  <si>
    <t>Ti.Kartik</t>
  </si>
  <si>
    <t>Ti.Sidd</t>
  </si>
  <si>
    <t>Match 6</t>
  </si>
  <si>
    <t>Solara</t>
  </si>
  <si>
    <t>FZ</t>
  </si>
  <si>
    <t>RGX</t>
  </si>
  <si>
    <t>NZ</t>
  </si>
  <si>
    <t>TE</t>
  </si>
  <si>
    <t>CB</t>
  </si>
  <si>
    <t>CTZ</t>
  </si>
  <si>
    <t>WNT VAMPIRE</t>
  </si>
  <si>
    <t>EG SHIV YASHVI</t>
  </si>
  <si>
    <t>RNX</t>
  </si>
  <si>
    <t>GN AES KISHMISSH</t>
  </si>
  <si>
    <t>CNX</t>
  </si>
  <si>
    <t>KAASH LIVE EG</t>
  </si>
  <si>
    <t>republic rumble | SEASON 1|GRANDS STAGE</t>
  </si>
  <si>
    <t>FZ CUTIES</t>
  </si>
  <si>
    <t>RG ZENYRA</t>
  </si>
  <si>
    <t>CLUTZA MELIORA</t>
  </si>
  <si>
    <t>NOVAS ZYPHR</t>
  </si>
  <si>
    <t>TE NOVAS</t>
  </si>
  <si>
    <t>CRY BABES</t>
  </si>
  <si>
    <t>DREAM GIRL ESPORTS</t>
  </si>
  <si>
    <t>DG OFFICIALS</t>
  </si>
  <si>
    <t>WNT GIRLS</t>
  </si>
  <si>
    <t>RAKUS REBELS</t>
  </si>
  <si>
    <t>EG GIRLS</t>
  </si>
  <si>
    <t>CHRONIX DIVAS</t>
  </si>
  <si>
    <t>Match 1</t>
  </si>
  <si>
    <t>Bermuda</t>
  </si>
  <si>
    <t>Match 2</t>
  </si>
  <si>
    <t>Purgatory</t>
  </si>
  <si>
    <t>Match 3</t>
  </si>
  <si>
    <t>Kalahari</t>
  </si>
  <si>
    <t>Match 4</t>
  </si>
  <si>
    <t>Alpine</t>
  </si>
  <si>
    <t>Match 5</t>
  </si>
  <si>
    <t>Nexterra</t>
  </si>
  <si>
    <t>M7</t>
  </si>
  <si>
    <t>M8</t>
  </si>
  <si>
    <t>M9</t>
  </si>
  <si>
    <t>M10</t>
  </si>
  <si>
    <t>GDR</t>
  </si>
  <si>
    <t>GDR PROS</t>
  </si>
  <si>
    <t>DAAFIQ</t>
  </si>
  <si>
    <t>K9 ESPORTS</t>
  </si>
  <si>
    <t>JACK</t>
  </si>
  <si>
    <t>RAIDERS UNITED</t>
  </si>
  <si>
    <t>TL</t>
  </si>
  <si>
    <t>OLYMPIANS</t>
  </si>
  <si>
    <t>UI</t>
  </si>
  <si>
    <t>GG INSTINCT</t>
  </si>
  <si>
    <t>HN</t>
  </si>
  <si>
    <t>HN ELITE</t>
  </si>
  <si>
    <t>GG</t>
  </si>
  <si>
    <t>GYAN GAMING</t>
  </si>
  <si>
    <t>FIREE</t>
  </si>
  <si>
    <t>LIFE HACKERZ</t>
  </si>
  <si>
    <t>RGE</t>
  </si>
  <si>
    <t>NXT ESPORTS</t>
  </si>
  <si>
    <t>ARZ</t>
  </si>
  <si>
    <t>AEROBOTZ ESPORTS</t>
  </si>
  <si>
    <t>RG</t>
  </si>
  <si>
    <t>RISING GODS</t>
  </si>
  <si>
    <t>BB</t>
  </si>
  <si>
    <t>MEC ESP</t>
  </si>
  <si>
    <t>1. Raiders</t>
  </si>
  <si>
    <t>2.k9</t>
  </si>
  <si>
    <t>3. GDR</t>
  </si>
  <si>
    <t>4. Olympians</t>
  </si>
  <si>
    <t>X</t>
  </si>
  <si>
    <t>5. GGI</t>
  </si>
  <si>
    <t>6. HN elite</t>
  </si>
  <si>
    <t>7. GG</t>
  </si>
  <si>
    <t>8. Life</t>
  </si>
  <si>
    <t>9. Nxt</t>
  </si>
  <si>
    <t>10. Abz</t>
  </si>
  <si>
    <t>11. Rising</t>
  </si>
  <si>
    <t>12. Mec</t>
  </si>
  <si>
    <t>TGT</t>
  </si>
  <si>
    <t>TG TYCOONS</t>
  </si>
  <si>
    <t>NG</t>
  </si>
  <si>
    <t>NG SILVEREAGLE</t>
  </si>
  <si>
    <t>EMZ</t>
  </si>
  <si>
    <t>PLAY X ESPORTS</t>
  </si>
  <si>
    <t>SONIC</t>
  </si>
  <si>
    <t>AEROBOTZ</t>
  </si>
  <si>
    <t>HEX ESPORTS</t>
  </si>
  <si>
    <t>DINO</t>
  </si>
  <si>
    <t>ITZ ELITE</t>
  </si>
  <si>
    <t>TUX ESPORTS</t>
  </si>
  <si>
    <t>SHADZU</t>
  </si>
  <si>
    <t>TEAM SDX</t>
  </si>
  <si>
    <t>MVS</t>
  </si>
  <si>
    <t>THE MULTIVERSE</t>
  </si>
  <si>
    <t>EGL</t>
  </si>
  <si>
    <t>EAGLE ESPORTS</t>
  </si>
  <si>
    <t>IAF</t>
  </si>
  <si>
    <t>IAF ESP</t>
  </si>
  <si>
    <t>M3i</t>
  </si>
  <si>
    <t>M3i ESPORTS</t>
  </si>
  <si>
    <t>4XS</t>
  </si>
  <si>
    <t>4X SHINOBIS</t>
  </si>
  <si>
    <t>XD</t>
  </si>
  <si>
    <t>SPT ESPORTS</t>
  </si>
  <si>
    <t>OFS</t>
  </si>
  <si>
    <t>ONLYFREAKS</t>
  </si>
  <si>
    <t>MM</t>
  </si>
  <si>
    <t>MAFIA MUNDEERS</t>
  </si>
  <si>
    <t>WES</t>
  </si>
  <si>
    <t>TFA RAGE</t>
  </si>
  <si>
    <t>SHARP</t>
  </si>
  <si>
    <t>SHARPSHOOTER</t>
  </si>
  <si>
    <t>EZY</t>
  </si>
  <si>
    <t>ZENO</t>
  </si>
  <si>
    <t>TITAN ESPORTS</t>
  </si>
  <si>
    <t>FGE</t>
  </si>
  <si>
    <t>FGE ESPORTS</t>
  </si>
  <si>
    <t>S8UL ELITE</t>
  </si>
  <si>
    <t>HsL</t>
  </si>
  <si>
    <t>HSL ESPORTS</t>
  </si>
  <si>
    <t>K9</t>
  </si>
  <si>
    <t>T-REX</t>
  </si>
  <si>
    <t>TR</t>
  </si>
  <si>
    <t>Luvvv</t>
  </si>
  <si>
    <t>DESI ESPORTS</t>
  </si>
  <si>
    <t>MANAS</t>
  </si>
  <si>
    <t>CHIRAG GAMING</t>
  </si>
  <si>
    <t>SRJ</t>
  </si>
  <si>
    <t>TEAM SWARAJYA</t>
  </si>
  <si>
    <t>X MANIA</t>
  </si>
  <si>
    <t>NKG</t>
  </si>
  <si>
    <t>SN</t>
  </si>
  <si>
    <t>RVT</t>
  </si>
  <si>
    <t>TZxDJ</t>
  </si>
  <si>
    <t>HimS</t>
  </si>
  <si>
    <t>UFX</t>
  </si>
  <si>
    <t>SvR</t>
  </si>
  <si>
    <t>OD¹⁸</t>
  </si>
  <si>
    <t>GN</t>
  </si>
  <si>
    <t>republic rumble | SEASON 1|LEAGUE STAGE</t>
  </si>
  <si>
    <t>TZXDJ</t>
  </si>
  <si>
    <t>TXB FF</t>
  </si>
  <si>
    <t xml:space="preserve">HUSTLERS ESPORTS </t>
  </si>
  <si>
    <t>GAMING NAWAB</t>
  </si>
  <si>
    <t>RVT ESPORTS</t>
  </si>
  <si>
    <t>JACK SPARROW</t>
  </si>
  <si>
    <t>SOVERGIN ESP</t>
  </si>
  <si>
    <t xml:space="preserve">SAHIB NOOB </t>
  </si>
  <si>
    <t>OD 18 GAMING</t>
  </si>
  <si>
    <t xml:space="preserve">HIMS GAMING </t>
  </si>
  <si>
    <t>TEAM VFX</t>
  </si>
  <si>
    <t>UN</t>
  </si>
  <si>
    <t>VLC</t>
  </si>
  <si>
    <t>ELITE</t>
  </si>
  <si>
    <t>TS</t>
  </si>
  <si>
    <t>PW</t>
  </si>
  <si>
    <t>XC</t>
  </si>
  <si>
    <t>4OG</t>
  </si>
  <si>
    <t>WG</t>
  </si>
  <si>
    <t>C2D</t>
  </si>
  <si>
    <t>DE</t>
  </si>
  <si>
    <t>BR</t>
  </si>
  <si>
    <t xml:space="preserve">TEAM X </t>
  </si>
  <si>
    <t>VOLCANO ESP</t>
  </si>
  <si>
    <t xml:space="preserve">BRO ESPORTS </t>
  </si>
  <si>
    <t xml:space="preserve">CHIRAG GAMING </t>
  </si>
  <si>
    <t xml:space="preserve">TSUKUYOMI ESP </t>
  </si>
  <si>
    <t xml:space="preserve">4 OG </t>
  </si>
  <si>
    <t>PRIME WARRIORS</t>
  </si>
  <si>
    <t>WG ESPORTS</t>
  </si>
  <si>
    <t xml:space="preserve">CARTOON ESPORTS </t>
  </si>
  <si>
    <t>XD x CD²</t>
  </si>
  <si>
    <t xml:space="preserve">KRIEGER ESP </t>
  </si>
  <si>
    <t>EVOS ESPORTS</t>
  </si>
  <si>
    <t>ms</t>
  </si>
  <si>
    <t>SNS</t>
  </si>
  <si>
    <t>ISG</t>
  </si>
  <si>
    <t>HWK</t>
  </si>
  <si>
    <t>LXP</t>
  </si>
  <si>
    <t>kishu</t>
  </si>
  <si>
    <t>ANTS</t>
  </si>
  <si>
    <t>IG DEMO</t>
  </si>
  <si>
    <t>PX4</t>
  </si>
  <si>
    <t>EsportSphere</t>
  </si>
  <si>
    <t>KNOCKOUT TAMILIAN</t>
  </si>
  <si>
    <t xml:space="preserve">I SUPREME GAMING </t>
  </si>
  <si>
    <t xml:space="preserve">ORACLES </t>
  </si>
  <si>
    <t xml:space="preserve">LXP ESPORTS </t>
  </si>
  <si>
    <t xml:space="preserve">ANOCTOPUS ELITE </t>
  </si>
  <si>
    <t>RNX X BEES</t>
  </si>
  <si>
    <t xml:space="preserve">CRYS GAMING </t>
  </si>
  <si>
    <t>NAAZ ESPORTS</t>
  </si>
  <si>
    <t>PHOENIX FORCEZ</t>
  </si>
  <si>
    <t>NGXRACS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</si>
</sst>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Oswald"/>
    </font>
    <font/>
    <font>
      <color theme="1"/>
      <name val="Oswald"/>
    </font>
    <font>
      <b/>
      <sz val="13.0"/>
      <color theme="1"/>
      <name val="Oswald"/>
    </font>
    <font>
      <sz val="14.0"/>
      <color rgb="FFFFFFFF"/>
      <name val="Bebas Neue"/>
    </font>
    <font>
      <sz val="12.0"/>
      <color rgb="FFFFFFFF"/>
      <name val="Bebas Neue"/>
    </font>
    <font>
      <sz val="12.0"/>
      <color rgb="FF000000"/>
      <name val="Bebas Neue"/>
    </font>
    <font>
      <sz val="11.0"/>
      <color rgb="FF000000"/>
      <name val="Oswald"/>
    </font>
    <font>
      <b/>
      <sz val="11.0"/>
      <color theme="1"/>
      <name val="Oswald"/>
    </font>
    <font>
      <sz val="13.0"/>
      <color theme="1"/>
      <name val="Oswald"/>
    </font>
    <font>
      <color theme="1"/>
      <name val="Arial"/>
    </font>
    <font>
      <b/>
      <i/>
      <color theme="1"/>
      <name val="Arial"/>
    </font>
    <font>
      <sz val="9.0"/>
      <color theme="1"/>
      <name val="Google Sans Mono"/>
    </font>
    <font>
      <color theme="1"/>
      <name val="Concert One"/>
    </font>
    <font>
      <b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FEDB7"/>
        <bgColor rgb="FFFFEDB7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89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ck">
        <color rgb="FFFFD966"/>
      </left>
      <top style="thick">
        <color rgb="FFFFD966"/>
      </top>
      <bottom style="dotted">
        <color rgb="FFFFD966"/>
      </bottom>
    </border>
    <border>
      <top style="thick">
        <color rgb="FFFFD966"/>
      </top>
      <bottom style="dotted">
        <color rgb="FFFFD966"/>
      </bottom>
    </border>
    <border>
      <right style="thick">
        <color rgb="FFFFD966"/>
      </right>
      <top style="thick">
        <color rgb="FFFFD966"/>
      </top>
      <bottom style="dotted">
        <color rgb="FFFFD966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</border>
    <border>
      <left style="thick">
        <color rgb="FFFFD966"/>
      </left>
      <right style="thick">
        <color rgb="FFFFD966"/>
      </right>
      <bottom style="thick">
        <color rgb="FFFFD966"/>
      </bottom>
    </border>
    <border>
      <left style="thin">
        <color rgb="FF000000"/>
      </left>
      <bottom style="thin">
        <color rgb="FF000000"/>
      </bottom>
    </border>
    <border>
      <left style="thin">
        <color rgb="FFFFFFFF"/>
      </left>
      <right style="thin">
        <color rgb="FFFFD966"/>
      </right>
      <bottom style="medium">
        <color rgb="FFFFF1C5"/>
      </bottom>
    </border>
    <border>
      <left style="thin">
        <color rgb="FFFFD966"/>
      </left>
      <right style="thin">
        <color rgb="FFFFD966"/>
      </right>
      <bottom style="medium">
        <color rgb="FFFFF1C5"/>
      </bottom>
    </border>
    <border>
      <left style="thin">
        <color rgb="FFFFD966"/>
      </left>
      <right style="thin">
        <color rgb="FFFFFFFF"/>
      </right>
      <bottom style="medium">
        <color rgb="FFFFF1C5"/>
      </bottom>
    </border>
    <border>
      <left style="thin">
        <color rgb="FFFFFFFF"/>
      </left>
      <right style="thin">
        <color rgb="FFFFD966"/>
      </right>
      <top style="medium">
        <color rgb="FFFFF1C5"/>
      </top>
      <bottom style="medium">
        <color rgb="FFFFF1C5"/>
      </bottom>
    </border>
    <border>
      <left style="thin">
        <color rgb="FFFFD966"/>
      </left>
      <right style="thin">
        <color rgb="FFFFD966"/>
      </right>
      <top style="medium">
        <color rgb="FFFFF1C5"/>
      </top>
      <bottom style="medium">
        <color rgb="FFFFF1C5"/>
      </bottom>
    </border>
    <border>
      <left style="thin">
        <color rgb="FFFFD966"/>
      </left>
      <right style="thin">
        <color rgb="FFFFFFFF"/>
      </right>
      <top style="medium">
        <color rgb="FFFFF1C5"/>
      </top>
      <bottom style="medium">
        <color rgb="FFFFF1C5"/>
      </bottom>
    </border>
    <border>
      <left style="thin">
        <color rgb="FFFFFFFF"/>
      </left>
      <right style="thin">
        <color rgb="FFFFD966"/>
      </right>
      <top style="medium">
        <color rgb="FFFFF1C5"/>
      </top>
      <bottom style="thin">
        <color rgb="FFFFD966"/>
      </bottom>
    </border>
    <border>
      <left style="thin">
        <color rgb="FFFFD966"/>
      </left>
      <right style="thin">
        <color rgb="FFFFD966"/>
      </right>
      <top style="medium">
        <color rgb="FFFFF1C5"/>
      </top>
      <bottom style="thin">
        <color rgb="FFFFD966"/>
      </bottom>
    </border>
    <border>
      <left style="thin">
        <color rgb="FFFFD966"/>
      </left>
      <right style="thin">
        <color rgb="FFFFFFFF"/>
      </right>
      <top style="medium">
        <color rgb="FFFFF1C5"/>
      </top>
      <bottom style="thin">
        <color rgb="FFFFD966"/>
      </bottom>
    </border>
    <border>
      <left style="thin">
        <color rgb="FFFFFFFF"/>
      </left>
      <right style="thin">
        <color rgb="FFFFD966"/>
      </right>
      <top style="thin">
        <color rgb="FFFFD966"/>
      </top>
      <bottom style="medium">
        <color rgb="FFFFF1C5"/>
      </bottom>
    </border>
    <border>
      <left style="thin">
        <color rgb="FFFFD966"/>
      </left>
      <right style="thin">
        <color rgb="FFFFD966"/>
      </right>
      <top style="thin">
        <color rgb="FFFFD966"/>
      </top>
      <bottom style="medium">
        <color rgb="FFFFF1C5"/>
      </bottom>
    </border>
    <border>
      <left style="thin">
        <color rgb="FFFFD966"/>
      </left>
      <right style="thin">
        <color rgb="FFFFFFFF"/>
      </right>
      <top style="thin">
        <color rgb="FFFFD966"/>
      </top>
      <bottom style="medium">
        <color rgb="FFFFF1C5"/>
      </bottom>
    </border>
    <border>
      <left style="thin">
        <color rgb="FFFFFFFF"/>
      </left>
      <right style="thin">
        <color rgb="FFFFD966"/>
      </right>
      <top style="thin">
        <color rgb="FFFFD966"/>
      </top>
      <bottom style="medium">
        <color rgb="FFFFEDB7"/>
      </bottom>
    </border>
    <border>
      <left style="thin">
        <color rgb="FFFFD966"/>
      </left>
      <right style="thin">
        <color rgb="FFFFD966"/>
      </right>
      <top style="thin">
        <color rgb="FFFFD966"/>
      </top>
      <bottom style="medium">
        <color rgb="FFFFEDB7"/>
      </bottom>
    </border>
    <border>
      <left style="thin">
        <color rgb="FFFFD966"/>
      </left>
      <right style="thin">
        <color rgb="FFFFFFFF"/>
      </right>
      <top style="thin">
        <color rgb="FFFFD966"/>
      </top>
      <bottom style="medium">
        <color rgb="FFFFEDB7"/>
      </bottom>
    </border>
    <border>
      <left style="thin">
        <color rgb="FFFFFFFF"/>
      </left>
      <right style="thin">
        <color rgb="FFFFD966"/>
      </right>
      <top style="medium">
        <color rgb="FFFFEDB7"/>
      </top>
      <bottom style="medium">
        <color rgb="FFFFEDB7"/>
      </bottom>
    </border>
    <border>
      <left style="thin">
        <color rgb="FFFFD966"/>
      </left>
      <right style="thin">
        <color rgb="FFFFD966"/>
      </right>
      <top style="medium">
        <color rgb="FFFFEDB7"/>
      </top>
      <bottom style="medium">
        <color rgb="FFFFEDB7"/>
      </bottom>
    </border>
    <border>
      <left style="thin">
        <color rgb="FFFFD966"/>
      </left>
      <right style="thin">
        <color rgb="FFFFFFFF"/>
      </right>
      <top style="medium">
        <color rgb="FFFFEDB7"/>
      </top>
      <bottom style="medium">
        <color rgb="FFFFEDB7"/>
      </bottom>
    </border>
    <border>
      <left style="thin">
        <color rgb="FF000000"/>
      </left>
      <bottom style="medium">
        <color rgb="FF000000"/>
      </bottom>
    </border>
    <border>
      <left style="thin">
        <color rgb="FFFFFFFF"/>
      </left>
      <right style="thin">
        <color rgb="FFFFD966"/>
      </right>
      <top style="medium">
        <color rgb="FFFFEDB7"/>
      </top>
      <bottom style="thin">
        <color rgb="FFFFFFFF"/>
      </bottom>
    </border>
    <border>
      <left style="thin">
        <color rgb="FFFFD966"/>
      </left>
      <right style="thin">
        <color rgb="FFFFD966"/>
      </right>
      <top style="medium">
        <color rgb="FFFFEDB7"/>
      </top>
      <bottom style="thin">
        <color rgb="FFFFFFFF"/>
      </bottom>
    </border>
    <border>
      <left style="thin">
        <color rgb="FFFFD966"/>
      </left>
      <right style="thin">
        <color rgb="FFFFFFFF"/>
      </right>
      <top style="medium">
        <color rgb="FFFFEDB7"/>
      </top>
      <bottom style="thin">
        <color rgb="FFFFFFFF"/>
      </bottom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0" fillId="0" fontId="2" numFmtId="0" xfId="0" applyAlignment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6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/>
    </xf>
    <xf borderId="9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readingOrder="0" vertical="center"/>
    </xf>
    <xf borderId="12" fillId="0" fontId="2" numFmtId="0" xfId="0" applyAlignment="1" applyBorder="1" applyFont="1">
      <alignment horizontal="center" readingOrder="0" vertical="center"/>
    </xf>
    <xf borderId="13" fillId="0" fontId="2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vertical="center"/>
    </xf>
    <xf borderId="0" fillId="0" fontId="1" numFmtId="0" xfId="0" applyAlignment="1" applyFont="1">
      <alignment readingOrder="0" vertical="center"/>
    </xf>
    <xf borderId="14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vertical="center"/>
    </xf>
    <xf borderId="0" fillId="0" fontId="1" numFmtId="0" xfId="0" applyAlignment="1" applyFont="1">
      <alignment readingOrder="0"/>
    </xf>
    <xf borderId="16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readingOrder="0" vertical="center"/>
    </xf>
    <xf borderId="18" fillId="0" fontId="2" numFmtId="0" xfId="0" applyAlignment="1" applyBorder="1" applyFont="1">
      <alignment horizontal="center" readingOrder="0" vertical="center"/>
    </xf>
    <xf borderId="19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21" fillId="0" fontId="2" numFmtId="0" xfId="0" applyAlignment="1" applyBorder="1" applyFont="1">
      <alignment horizontal="center" vertical="center"/>
    </xf>
    <xf borderId="22" fillId="0" fontId="2" numFmtId="0" xfId="0" applyAlignment="1" applyBorder="1" applyFont="1">
      <alignment horizontal="center" readingOrder="0" vertical="center"/>
    </xf>
    <xf borderId="23" fillId="2" fontId="1" numFmtId="0" xfId="0" applyAlignment="1" applyBorder="1" applyFill="1" applyFont="1">
      <alignment readingOrder="0" vertical="center"/>
    </xf>
    <xf borderId="24" fillId="0" fontId="3" numFmtId="0" xfId="0" applyBorder="1" applyFont="1"/>
    <xf borderId="11" fillId="0" fontId="3" numFmtId="0" xfId="0" applyBorder="1" applyFont="1"/>
    <xf borderId="1" fillId="0" fontId="5" numFmtId="0" xfId="0" applyAlignment="1" applyBorder="1" applyFont="1">
      <alignment horizontal="center" readingOrder="0" vertical="center"/>
    </xf>
    <xf borderId="25" fillId="2" fontId="2" numFmtId="0" xfId="0" applyAlignment="1" applyBorder="1" applyFont="1">
      <alignment horizontal="center" readingOrder="0" vertical="center"/>
    </xf>
    <xf borderId="26" fillId="3" fontId="6" numFmtId="0" xfId="0" applyAlignment="1" applyBorder="1" applyFill="1" applyFont="1">
      <alignment horizontal="center" readingOrder="0" vertical="center"/>
    </xf>
    <xf borderId="27" fillId="0" fontId="3" numFmtId="0" xfId="0" applyBorder="1" applyFont="1"/>
    <xf borderId="28" fillId="0" fontId="3" numFmtId="0" xfId="0" applyBorder="1" applyFont="1"/>
    <xf borderId="29" fillId="2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4" fillId="0" fontId="2" numFmtId="0" xfId="0" applyAlignment="1" applyBorder="1" applyFont="1">
      <alignment horizontal="center" readingOrder="0" vertical="center"/>
    </xf>
    <xf borderId="30" fillId="0" fontId="2" numFmtId="0" xfId="0" applyAlignment="1" applyBorder="1" applyFont="1">
      <alignment horizontal="center" readingOrder="0" vertical="center"/>
    </xf>
    <xf borderId="31" fillId="0" fontId="3" numFmtId="0" xfId="0" applyBorder="1" applyFont="1"/>
    <xf borderId="32" fillId="3" fontId="7" numFmtId="0" xfId="0" applyAlignment="1" applyBorder="1" applyFont="1">
      <alignment horizontal="center" readingOrder="0" vertical="center"/>
    </xf>
    <xf borderId="21" fillId="0" fontId="3" numFmtId="0" xfId="0" applyBorder="1" applyFont="1"/>
    <xf borderId="9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33" fillId="0" fontId="2" numFmtId="0" xfId="0" applyAlignment="1" applyBorder="1" applyFont="1">
      <alignment horizontal="center" vertical="center"/>
    </xf>
    <xf borderId="34" fillId="4" fontId="8" numFmtId="0" xfId="0" applyAlignment="1" applyBorder="1" applyFill="1" applyFont="1">
      <alignment horizontal="center" vertical="center"/>
    </xf>
    <xf borderId="35" fillId="4" fontId="8" numFmtId="0" xfId="0" applyAlignment="1" applyBorder="1" applyFont="1">
      <alignment horizontal="center" readingOrder="0" vertical="center"/>
    </xf>
    <xf borderId="35" fillId="4" fontId="8" numFmtId="0" xfId="0" applyAlignment="1" applyBorder="1" applyFont="1">
      <alignment horizontal="center" vertical="center"/>
    </xf>
    <xf borderId="36" fillId="4" fontId="8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readingOrder="0" vertical="center"/>
    </xf>
    <xf borderId="37" fillId="4" fontId="8" numFmtId="0" xfId="0" applyAlignment="1" applyBorder="1" applyFont="1">
      <alignment horizontal="center" vertical="center"/>
    </xf>
    <xf borderId="38" fillId="4" fontId="8" numFmtId="0" xfId="0" applyAlignment="1" applyBorder="1" applyFont="1">
      <alignment horizontal="center" readingOrder="0" vertical="center"/>
    </xf>
    <xf borderId="38" fillId="4" fontId="8" numFmtId="0" xfId="0" applyAlignment="1" applyBorder="1" applyFont="1">
      <alignment horizontal="center" vertical="center"/>
    </xf>
    <xf borderId="39" fillId="4" fontId="8" numFmtId="0" xfId="0" applyAlignment="1" applyBorder="1" applyFont="1">
      <alignment horizontal="center" vertical="center"/>
    </xf>
    <xf borderId="40" fillId="4" fontId="8" numFmtId="0" xfId="0" applyAlignment="1" applyBorder="1" applyFont="1">
      <alignment horizontal="center" vertical="center"/>
    </xf>
    <xf borderId="41" fillId="4" fontId="8" numFmtId="0" xfId="0" applyAlignment="1" applyBorder="1" applyFont="1">
      <alignment horizontal="center" readingOrder="0" vertical="center"/>
    </xf>
    <xf borderId="41" fillId="4" fontId="8" numFmtId="0" xfId="0" applyAlignment="1" applyBorder="1" applyFont="1">
      <alignment horizontal="center" readingOrder="0" vertical="center"/>
    </xf>
    <xf borderId="41" fillId="4" fontId="8" numFmtId="0" xfId="0" applyAlignment="1" applyBorder="1" applyFont="1">
      <alignment horizontal="center" vertical="center"/>
    </xf>
    <xf borderId="42" fillId="4" fontId="8" numFmtId="0" xfId="0" applyAlignment="1" applyBorder="1" applyFont="1">
      <alignment horizontal="center" vertical="center"/>
    </xf>
    <xf borderId="43" fillId="5" fontId="8" numFmtId="0" xfId="0" applyAlignment="1" applyBorder="1" applyFill="1" applyFont="1">
      <alignment horizontal="center" vertical="center"/>
    </xf>
    <xf borderId="44" fillId="5" fontId="8" numFmtId="0" xfId="0" applyAlignment="1" applyBorder="1" applyFont="1">
      <alignment horizontal="center" readingOrder="0" vertical="center"/>
    </xf>
    <xf borderId="44" fillId="5" fontId="8" numFmtId="0" xfId="0" applyAlignment="1" applyBorder="1" applyFont="1">
      <alignment horizontal="center" readingOrder="0" vertical="center"/>
    </xf>
    <xf borderId="44" fillId="5" fontId="8" numFmtId="0" xfId="0" applyAlignment="1" applyBorder="1" applyFont="1">
      <alignment horizontal="center" vertical="center"/>
    </xf>
    <xf borderId="45" fillId="5" fontId="8" numFmtId="0" xfId="0" applyAlignment="1" applyBorder="1" applyFont="1">
      <alignment horizontal="center" vertical="center"/>
    </xf>
    <xf borderId="37" fillId="5" fontId="8" numFmtId="0" xfId="0" applyAlignment="1" applyBorder="1" applyFont="1">
      <alignment horizontal="center" vertical="center"/>
    </xf>
    <xf borderId="38" fillId="5" fontId="8" numFmtId="0" xfId="0" applyAlignment="1" applyBorder="1" applyFont="1">
      <alignment horizontal="center" readingOrder="0" vertical="center"/>
    </xf>
    <xf borderId="38" fillId="5" fontId="8" numFmtId="0" xfId="0" applyAlignment="1" applyBorder="1" applyFont="1">
      <alignment horizontal="center" readingOrder="0" vertical="center"/>
    </xf>
    <xf borderId="38" fillId="5" fontId="8" numFmtId="0" xfId="0" applyAlignment="1" applyBorder="1" applyFont="1">
      <alignment horizontal="center" vertical="center"/>
    </xf>
    <xf borderId="39" fillId="5" fontId="8" numFmtId="0" xfId="0" applyAlignment="1" applyBorder="1" applyFont="1">
      <alignment horizontal="center" vertical="center"/>
    </xf>
    <xf borderId="40" fillId="5" fontId="8" numFmtId="0" xfId="0" applyAlignment="1" applyBorder="1" applyFont="1">
      <alignment horizontal="center" vertical="center"/>
    </xf>
    <xf borderId="41" fillId="5" fontId="8" numFmtId="0" xfId="0" applyAlignment="1" applyBorder="1" applyFont="1">
      <alignment horizontal="center" readingOrder="0" vertical="center"/>
    </xf>
    <xf borderId="41" fillId="5" fontId="8" numFmtId="0" xfId="0" applyAlignment="1" applyBorder="1" applyFont="1">
      <alignment horizontal="center" readingOrder="0" vertical="center"/>
    </xf>
    <xf borderId="41" fillId="5" fontId="8" numFmtId="0" xfId="0" applyAlignment="1" applyBorder="1" applyFont="1">
      <alignment horizontal="center" vertical="center"/>
    </xf>
    <xf borderId="42" fillId="5" fontId="8" numFmtId="0" xfId="0" applyAlignment="1" applyBorder="1" applyFont="1">
      <alignment horizontal="center" vertical="center"/>
    </xf>
    <xf borderId="8" fillId="0" fontId="9" numFmtId="0" xfId="0" applyAlignment="1" applyBorder="1" applyFont="1">
      <alignment horizontal="center" readingOrder="0" vertical="center"/>
    </xf>
    <xf borderId="46" fillId="6" fontId="8" numFmtId="0" xfId="0" applyAlignment="1" applyBorder="1" applyFill="1" applyFont="1">
      <alignment horizontal="center" vertical="center"/>
    </xf>
    <xf borderId="47" fillId="6" fontId="8" numFmtId="0" xfId="0" applyAlignment="1" applyBorder="1" applyFont="1">
      <alignment horizontal="center" readingOrder="0" vertical="center"/>
    </xf>
    <xf borderId="47" fillId="6" fontId="8" numFmtId="0" xfId="0" applyAlignment="1" applyBorder="1" applyFont="1">
      <alignment horizontal="center" readingOrder="0" vertical="center"/>
    </xf>
    <xf borderId="47" fillId="6" fontId="8" numFmtId="0" xfId="0" applyAlignment="1" applyBorder="1" applyFont="1">
      <alignment horizontal="center" vertical="center"/>
    </xf>
    <xf borderId="48" fillId="6" fontId="8" numFmtId="0" xfId="0" applyAlignment="1" applyBorder="1" applyFont="1">
      <alignment horizontal="center" vertical="center"/>
    </xf>
    <xf borderId="49" fillId="6" fontId="8" numFmtId="0" xfId="0" applyAlignment="1" applyBorder="1" applyFont="1">
      <alignment horizontal="center" vertical="center"/>
    </xf>
    <xf borderId="50" fillId="6" fontId="8" numFmtId="0" xfId="0" applyAlignment="1" applyBorder="1" applyFont="1">
      <alignment horizontal="center" readingOrder="0" vertical="center"/>
    </xf>
    <xf borderId="50" fillId="6" fontId="8" numFmtId="0" xfId="0" applyAlignment="1" applyBorder="1" applyFont="1">
      <alignment horizontal="center" readingOrder="0" vertical="center"/>
    </xf>
    <xf borderId="50" fillId="6" fontId="8" numFmtId="0" xfId="0" applyAlignment="1" applyBorder="1" applyFont="1">
      <alignment horizontal="center" vertical="center"/>
    </xf>
    <xf borderId="51" fillId="6" fontId="8" numFmtId="0" xfId="0" applyAlignment="1" applyBorder="1" applyFont="1">
      <alignment horizontal="center" vertical="center"/>
    </xf>
    <xf borderId="0" fillId="0" fontId="2" numFmtId="0" xfId="0" applyAlignment="1" applyFont="1">
      <alignment horizontal="center" readingOrder="0"/>
    </xf>
    <xf borderId="20" fillId="0" fontId="10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readingOrder="0" vertical="center"/>
    </xf>
    <xf borderId="0" fillId="0" fontId="4" numFmtId="0" xfId="0" applyAlignment="1" applyFont="1">
      <alignment readingOrder="0"/>
    </xf>
    <xf borderId="52" fillId="0" fontId="2" numFmtId="0" xfId="0" applyAlignment="1" applyBorder="1" applyFont="1">
      <alignment horizontal="center" vertical="center"/>
    </xf>
    <xf borderId="53" fillId="6" fontId="8" numFmtId="0" xfId="0" applyAlignment="1" applyBorder="1" applyFont="1">
      <alignment horizontal="center" vertical="center"/>
    </xf>
    <xf borderId="54" fillId="6" fontId="8" numFmtId="0" xfId="0" applyAlignment="1" applyBorder="1" applyFont="1">
      <alignment horizontal="center" readingOrder="0" vertical="center"/>
    </xf>
    <xf borderId="54" fillId="6" fontId="8" numFmtId="0" xfId="0" applyAlignment="1" applyBorder="1" applyFont="1">
      <alignment horizontal="center" readingOrder="0" vertical="center"/>
    </xf>
    <xf borderId="54" fillId="6" fontId="8" numFmtId="0" xfId="0" applyAlignment="1" applyBorder="1" applyFont="1">
      <alignment horizontal="center" vertical="center"/>
    </xf>
    <xf borderId="55" fillId="6" fontId="8" numFmtId="0" xfId="0" applyAlignment="1" applyBorder="1" applyFont="1">
      <alignment horizontal="center" vertical="center"/>
    </xf>
    <xf borderId="7" fillId="0" fontId="3" numFmtId="0" xfId="0" applyBorder="1" applyFont="1"/>
    <xf borderId="33" fillId="0" fontId="3" numFmtId="0" xfId="0" applyBorder="1" applyFont="1"/>
    <xf borderId="33" fillId="2" fontId="1" numFmtId="0" xfId="0" applyAlignment="1" applyBorder="1" applyFont="1">
      <alignment vertical="center"/>
    </xf>
    <xf borderId="56" fillId="0" fontId="3" numFmtId="0" xfId="0" applyBorder="1" applyFont="1"/>
    <xf borderId="0" fillId="0" fontId="11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12" numFmtId="0" xfId="0" applyAlignment="1" applyFont="1">
      <alignment vertical="bottom"/>
    </xf>
    <xf borderId="56" fillId="0" fontId="12" numFmtId="0" xfId="0" applyAlignment="1" applyBorder="1" applyFont="1">
      <alignment vertical="bottom"/>
    </xf>
    <xf borderId="21" fillId="0" fontId="12" numFmtId="0" xfId="0" applyAlignment="1" applyBorder="1" applyFont="1">
      <alignment horizontal="center" vertical="bottom"/>
    </xf>
    <xf borderId="56" fillId="0" fontId="13" numFmtId="0" xfId="0" applyAlignment="1" applyBorder="1" applyFont="1">
      <alignment horizontal="center" vertical="bottom"/>
    </xf>
    <xf borderId="56" fillId="0" fontId="3" numFmtId="0" xfId="0" applyBorder="1" applyFont="1"/>
    <xf borderId="7" fillId="0" fontId="3" numFmtId="0" xfId="0" applyBorder="1" applyFont="1"/>
    <xf borderId="0" fillId="0" fontId="1" numFmtId="0" xfId="0" applyAlignment="1" applyFont="1">
      <alignment horizontal="center"/>
    </xf>
    <xf borderId="21" fillId="0" fontId="12" numFmtId="0" xfId="0" applyAlignment="1" applyBorder="1" applyFont="1">
      <alignment vertical="bottom"/>
    </xf>
    <xf borderId="7" fillId="0" fontId="12" numFmtId="0" xfId="0" applyAlignment="1" applyBorder="1" applyFont="1">
      <alignment horizontal="center" vertical="bottom"/>
    </xf>
    <xf borderId="7" fillId="0" fontId="12" numFmtId="0" xfId="0" applyAlignment="1" applyBorder="1" applyFont="1">
      <alignment vertical="bottom"/>
    </xf>
    <xf borderId="7" fillId="0" fontId="12" numFmtId="0" xfId="0" applyAlignment="1" applyBorder="1" applyFont="1">
      <alignment horizontal="right" vertical="bottom"/>
    </xf>
    <xf borderId="0" fillId="0" fontId="12" numFmtId="0" xfId="0" applyAlignment="1" applyFont="1">
      <alignment horizontal="right" vertical="bottom"/>
    </xf>
    <xf borderId="0" fillId="0" fontId="12" numFmtId="10" xfId="0" applyAlignment="1" applyFont="1" applyNumberFormat="1">
      <alignment horizontal="right" vertical="bottom"/>
    </xf>
    <xf borderId="12" fillId="0" fontId="1" numFmtId="0" xfId="0" applyAlignment="1" applyBorder="1" applyFont="1">
      <alignment horizontal="center" readingOrder="0"/>
    </xf>
    <xf borderId="0" fillId="7" fontId="14" numFmtId="10" xfId="0" applyAlignment="1" applyFill="1" applyFont="1" applyNumberFormat="1">
      <alignment horizontal="right" vertical="bottom"/>
    </xf>
    <xf borderId="12" fillId="0" fontId="12" numFmtId="0" xfId="0" applyAlignment="1" applyBorder="1" applyFont="1">
      <alignment horizontal="center" vertical="bottom"/>
    </xf>
    <xf borderId="12" fillId="0" fontId="12" numFmtId="10" xfId="0" applyAlignment="1" applyBorder="1" applyFont="1" applyNumberFormat="1">
      <alignment horizontal="center" readingOrder="0" vertical="bottom"/>
    </xf>
    <xf borderId="12" fillId="0" fontId="1" numFmtId="10" xfId="0" applyAlignment="1" applyBorder="1" applyFont="1" applyNumberFormat="1">
      <alignment horizontal="center" readingOrder="0"/>
    </xf>
    <xf borderId="0" fillId="0" fontId="12" numFmtId="10" xfId="0" applyAlignment="1" applyFont="1" applyNumberFormat="1">
      <alignment vertical="bottom"/>
    </xf>
    <xf borderId="0" fillId="7" fontId="12" numFmtId="10" xfId="0" applyAlignment="1" applyFont="1" applyNumberFormat="1">
      <alignment vertical="bottom"/>
    </xf>
    <xf borderId="56" fillId="0" fontId="13" numFmtId="0" xfId="0" applyAlignment="1" applyBorder="1" applyFont="1">
      <alignment horizontal="center" readingOrder="0" vertical="bottom"/>
    </xf>
    <xf borderId="31" fillId="0" fontId="12" numFmtId="0" xfId="0" applyAlignment="1" applyBorder="1" applyFont="1">
      <alignment vertical="bottom"/>
    </xf>
    <xf borderId="7" fillId="0" fontId="12" numFmtId="0" xfId="0" applyAlignment="1" applyBorder="1" applyFont="1">
      <alignment readingOrder="0" vertical="bottom"/>
    </xf>
    <xf borderId="7" fillId="0" fontId="12" numFmtId="0" xfId="0" applyAlignment="1" applyBorder="1" applyFont="1">
      <alignment horizontal="right" readingOrder="0" vertical="bottom"/>
    </xf>
    <xf borderId="31" fillId="0" fontId="12" numFmtId="0" xfId="0" applyAlignment="1" applyBorder="1" applyFont="1">
      <alignment horizontal="right" vertical="bottom"/>
    </xf>
    <xf borderId="12" fillId="0" fontId="1" numFmtId="0" xfId="0" applyAlignment="1" applyBorder="1" applyFont="1">
      <alignment horizontal="center"/>
    </xf>
    <xf borderId="12" fillId="0" fontId="12" numFmtId="10" xfId="0" applyAlignment="1" applyBorder="1" applyFont="1" applyNumberFormat="1">
      <alignment horizontal="center" vertical="bottom"/>
    </xf>
    <xf borderId="12" fillId="0" fontId="1" numFmtId="10" xfId="0" applyAlignment="1" applyBorder="1" applyFont="1" applyNumberFormat="1">
      <alignment horizontal="center"/>
    </xf>
    <xf borderId="57" fillId="0" fontId="2" numFmtId="0" xfId="0" applyAlignment="1" applyBorder="1" applyFont="1">
      <alignment horizontal="center" readingOrder="0" vertical="center"/>
    </xf>
    <xf borderId="58" fillId="0" fontId="3" numFmtId="0" xfId="0" applyBorder="1" applyFont="1"/>
    <xf borderId="59" fillId="0" fontId="3" numFmtId="0" xfId="0" applyBorder="1" applyFont="1"/>
    <xf borderId="15" fillId="0" fontId="4" numFmtId="0" xfId="0" applyAlignment="1" applyBorder="1" applyFont="1">
      <alignment horizontal="center" readingOrder="0" vertical="center"/>
    </xf>
    <xf borderId="15" fillId="0" fontId="2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/>
    </xf>
    <xf borderId="12" fillId="0" fontId="4" numFmtId="0" xfId="0" applyAlignment="1" applyBorder="1" applyFont="1">
      <alignment horizontal="center" readingOrder="0"/>
    </xf>
    <xf borderId="18" fillId="0" fontId="4" numFmtId="0" xfId="0" applyAlignment="1" applyBorder="1" applyFont="1">
      <alignment horizontal="center" readingOrder="0"/>
    </xf>
    <xf borderId="60" fillId="0" fontId="2" numFmtId="0" xfId="0" applyAlignment="1" applyBorder="1" applyFont="1">
      <alignment horizontal="center" readingOrder="0" vertical="center"/>
    </xf>
    <xf borderId="61" fillId="0" fontId="2" numFmtId="0" xfId="0" applyAlignment="1" applyBorder="1" applyFont="1">
      <alignment horizontal="center" readingOrder="0" vertical="center"/>
    </xf>
    <xf borderId="12" fillId="0" fontId="9" numFmtId="0" xfId="0" applyAlignment="1" applyBorder="1" applyFont="1">
      <alignment horizontal="center" readingOrder="0" vertical="center"/>
    </xf>
    <xf borderId="12" fillId="0" fontId="2" numFmtId="0" xfId="0" applyAlignment="1" applyBorder="1" applyFont="1">
      <alignment horizontal="center" readingOrder="0"/>
    </xf>
    <xf borderId="62" fillId="0" fontId="2" numFmtId="0" xfId="0" applyAlignment="1" applyBorder="1" applyFont="1">
      <alignment horizontal="center" readingOrder="0" vertical="center"/>
    </xf>
    <xf borderId="62" fillId="0" fontId="2" numFmtId="0" xfId="0" applyAlignment="1" applyBorder="1" applyFont="1">
      <alignment horizontal="center" vertical="center"/>
    </xf>
    <xf borderId="63" fillId="0" fontId="2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64" fillId="0" fontId="2" numFmtId="0" xfId="0" applyAlignment="1" applyBorder="1" applyFont="1">
      <alignment horizontal="center" readingOrder="0" vertical="center"/>
    </xf>
    <xf borderId="65" fillId="0" fontId="2" numFmtId="0" xfId="0" applyAlignment="1" applyBorder="1" applyFont="1">
      <alignment horizontal="center" readingOrder="0" vertical="center"/>
    </xf>
    <xf borderId="65" fillId="0" fontId="3" numFmtId="0" xfId="0" applyBorder="1" applyFont="1"/>
    <xf borderId="66" fillId="0" fontId="3" numFmtId="0" xfId="0" applyBorder="1" applyFont="1"/>
    <xf borderId="1" fillId="0" fontId="4" numFmtId="0" xfId="0" applyAlignment="1" applyBorder="1" applyFont="1">
      <alignment horizontal="center" readingOrder="0" vertical="center"/>
    </xf>
    <xf borderId="67" fillId="0" fontId="2" numFmtId="0" xfId="0" applyAlignment="1" applyBorder="1" applyFont="1">
      <alignment horizontal="center" readingOrder="0" vertical="center"/>
    </xf>
    <xf borderId="68" fillId="0" fontId="2" numFmtId="0" xfId="0" applyAlignment="1" applyBorder="1" applyFont="1">
      <alignment horizontal="center" readingOrder="0" vertical="center"/>
    </xf>
    <xf borderId="67" fillId="0" fontId="4" numFmtId="0" xfId="0" applyAlignment="1" applyBorder="1" applyFont="1">
      <alignment horizontal="center" readingOrder="0" vertical="center"/>
    </xf>
    <xf borderId="68" fillId="0" fontId="4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readingOrder="0" vertical="center"/>
    </xf>
    <xf borderId="60" fillId="0" fontId="2" numFmtId="0" xfId="0" applyAlignment="1" applyBorder="1" applyFont="1">
      <alignment horizontal="center" vertical="center"/>
    </xf>
    <xf borderId="69" fillId="0" fontId="2" numFmtId="0" xfId="0" applyAlignment="1" applyBorder="1" applyFont="1">
      <alignment horizontal="center" readingOrder="0" vertical="center"/>
    </xf>
    <xf borderId="70" fillId="0" fontId="2" numFmtId="0" xfId="0" applyAlignment="1" applyBorder="1" applyFont="1">
      <alignment horizontal="center" readingOrder="0" vertical="center"/>
    </xf>
    <xf borderId="71" fillId="0" fontId="4" numFmtId="0" xfId="0" applyAlignment="1" applyBorder="1" applyFont="1">
      <alignment horizontal="center" readingOrder="0"/>
    </xf>
    <xf borderId="33" fillId="0" fontId="4" numFmtId="0" xfId="0" applyAlignment="1" applyBorder="1" applyFont="1">
      <alignment horizontal="center" readingOrder="0"/>
    </xf>
    <xf borderId="61" fillId="0" fontId="2" numFmtId="0" xfId="0" applyAlignment="1" applyBorder="1" applyFont="1">
      <alignment horizontal="center" vertical="center"/>
    </xf>
    <xf borderId="72" fillId="0" fontId="2" numFmtId="0" xfId="0" applyAlignment="1" applyBorder="1" applyFont="1">
      <alignment horizontal="center" readingOrder="0" vertical="center"/>
    </xf>
    <xf borderId="73" fillId="0" fontId="2" numFmtId="0" xfId="0" applyAlignment="1" applyBorder="1" applyFont="1">
      <alignment horizontal="center" readingOrder="0" vertical="center"/>
    </xf>
    <xf borderId="74" fillId="0" fontId="2" numFmtId="0" xfId="0" applyAlignment="1" applyBorder="1" applyFont="1">
      <alignment horizontal="center" readingOrder="0" vertical="center"/>
    </xf>
    <xf borderId="75" fillId="0" fontId="4" numFmtId="0" xfId="0" applyAlignment="1" applyBorder="1" applyFont="1">
      <alignment horizontal="center" readingOrder="0"/>
    </xf>
    <xf borderId="76" fillId="0" fontId="4" numFmtId="0" xfId="0" applyAlignment="1" applyBorder="1" applyFont="1">
      <alignment horizontal="center" readingOrder="0"/>
    </xf>
    <xf borderId="74" fillId="0" fontId="4" numFmtId="0" xfId="0" applyAlignment="1" applyBorder="1" applyFont="1">
      <alignment horizontal="center" readingOrder="0"/>
    </xf>
    <xf borderId="63" fillId="0" fontId="2" numFmtId="0" xfId="0" applyAlignment="1" applyBorder="1" applyFont="1">
      <alignment horizontal="center" vertical="center"/>
    </xf>
    <xf borderId="77" fillId="0" fontId="2" numFmtId="0" xfId="0" applyAlignment="1" applyBorder="1" applyFont="1">
      <alignment horizontal="center" readingOrder="0" vertical="center"/>
    </xf>
    <xf borderId="78" fillId="0" fontId="2" numFmtId="0" xfId="0" applyAlignment="1" applyBorder="1" applyFont="1">
      <alignment horizontal="center" readingOrder="0" vertical="center"/>
    </xf>
    <xf borderId="79" fillId="0" fontId="2" numFmtId="0" xfId="0" applyAlignment="1" applyBorder="1" applyFont="1">
      <alignment horizontal="center" readingOrder="0" vertical="center"/>
    </xf>
    <xf borderId="80" fillId="0" fontId="4" numFmtId="0" xfId="0" applyAlignment="1" applyBorder="1" applyFont="1">
      <alignment horizontal="center" readingOrder="0"/>
    </xf>
    <xf borderId="81" fillId="0" fontId="4" numFmtId="0" xfId="0" applyAlignment="1" applyBorder="1" applyFont="1">
      <alignment horizontal="center" readingOrder="0"/>
    </xf>
    <xf borderId="82" fillId="0" fontId="2" numFmtId="0" xfId="0" applyAlignment="1" applyBorder="1" applyFont="1">
      <alignment horizontal="center" readingOrder="0" vertical="center"/>
    </xf>
    <xf borderId="83" fillId="0" fontId="2" numFmtId="0" xfId="0" applyAlignment="1" applyBorder="1" applyFont="1">
      <alignment horizontal="center" readingOrder="0" vertical="center"/>
    </xf>
    <xf borderId="84" fillId="0" fontId="4" numFmtId="0" xfId="0" applyAlignment="1" applyBorder="1" applyFont="1">
      <alignment horizontal="center" readingOrder="0"/>
    </xf>
    <xf borderId="85" fillId="0" fontId="4" numFmtId="0" xfId="0" applyAlignment="1" applyBorder="1" applyFont="1">
      <alignment horizontal="center" readingOrder="0"/>
    </xf>
    <xf borderId="86" fillId="0" fontId="15" numFmtId="0" xfId="0" applyAlignment="1" applyBorder="1" applyFont="1">
      <alignment horizontal="center"/>
    </xf>
    <xf borderId="87" fillId="0" fontId="15" numFmtId="0" xfId="0" applyAlignment="1" applyBorder="1" applyFont="1">
      <alignment horizontal="center"/>
    </xf>
    <xf borderId="88" fillId="0" fontId="3" numFmtId="0" xfId="0" applyBorder="1" applyFont="1"/>
    <xf borderId="0" fillId="0" fontId="1" numFmtId="0" xfId="0" applyFont="1"/>
    <xf borderId="12" fillId="7" fontId="16" numFmtId="0" xfId="0" applyAlignment="1" applyBorder="1" applyFont="1">
      <alignment horizontal="center" vertical="bottom"/>
    </xf>
    <xf borderId="12" fillId="0" fontId="16" numFmtId="0" xfId="0" applyAlignment="1" applyBorder="1" applyFont="1">
      <alignment horizontal="center" readingOrder="0" vertical="bottom"/>
    </xf>
    <xf borderId="12" fillId="0" fontId="16" numFmtId="0" xfId="0" applyAlignment="1" applyBorder="1" applyFont="1">
      <alignment horizontal="center" vertical="bottom"/>
    </xf>
    <xf borderId="76" fillId="0" fontId="2" numFmtId="0" xfId="0" applyAlignment="1" applyBorder="1" applyFont="1">
      <alignment horizontal="center" readingOrder="0"/>
    </xf>
    <xf borderId="12" fillId="7" fontId="16" numFmtId="0" xfId="0" applyAlignment="1" applyBorder="1" applyFont="1">
      <alignment horizontal="center" readingOrder="0" vertical="bottom"/>
    </xf>
    <xf borderId="11" fillId="0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3.25"/>
    <col customWidth="1" min="3" max="3" width="10.88"/>
    <col customWidth="1" min="4" max="4" width="6.38"/>
    <col customWidth="1" min="5" max="5" width="5.88"/>
    <col customWidth="1" min="6" max="6" width="6.13"/>
    <col customWidth="1" min="7" max="7" width="7.63"/>
    <col customWidth="1" min="8" max="8" width="3.25"/>
    <col customWidth="1" min="9" max="9" width="10.0"/>
    <col customWidth="1" min="10" max="10" width="6.88"/>
    <col customWidth="1" min="11" max="11" width="5.88"/>
    <col customWidth="1" min="12" max="12" width="6.0"/>
    <col customWidth="1" min="13" max="13" width="5.88"/>
    <col customWidth="1" min="14" max="14" width="3.75"/>
    <col customWidth="1" min="15" max="15" width="13.25"/>
    <col customWidth="1" min="16" max="16" width="6.88"/>
    <col customWidth="1" min="17" max="17" width="7.5"/>
    <col customWidth="1" min="18" max="18" width="5.63"/>
    <col customWidth="1" min="19" max="19" width="6.63"/>
    <col customWidth="1" min="20" max="20" width="5.25"/>
    <col customWidth="1" min="21" max="21" width="3.25"/>
    <col customWidth="1" min="22" max="22" width="10.5"/>
    <col customWidth="1" min="23" max="23" width="11.75"/>
    <col customWidth="1" min="24" max="25" width="6.88"/>
    <col customWidth="1" min="26" max="26" width="5.75"/>
    <col customWidth="1" min="27" max="27" width="5.88"/>
    <col customWidth="1" min="28" max="28" width="5.75"/>
    <col customWidth="1" min="29" max="29" width="4.25"/>
    <col customWidth="1" min="30" max="30" width="10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2" t="s">
        <v>0</v>
      </c>
      <c r="C2" s="3"/>
      <c r="D2" s="3"/>
      <c r="E2" s="3"/>
      <c r="F2" s="4"/>
      <c r="G2" s="1"/>
      <c r="H2" s="2" t="s">
        <v>1</v>
      </c>
      <c r="I2" s="3"/>
      <c r="J2" s="3"/>
      <c r="K2" s="3"/>
      <c r="L2" s="4"/>
      <c r="M2" s="1"/>
      <c r="N2" s="2" t="s">
        <v>2</v>
      </c>
      <c r="O2" s="3"/>
      <c r="P2" s="3"/>
      <c r="Q2" s="3"/>
      <c r="R2" s="4"/>
      <c r="S2" s="5"/>
      <c r="T2" s="1"/>
      <c r="U2" s="2" t="s">
        <v>3</v>
      </c>
      <c r="V2" s="3"/>
      <c r="W2" s="3"/>
      <c r="X2" s="3"/>
      <c r="Y2" s="4"/>
      <c r="Z2" s="5"/>
      <c r="AB2" s="5"/>
      <c r="AC2" s="1"/>
      <c r="AD2" s="1"/>
    </row>
    <row r="3">
      <c r="A3" s="1"/>
      <c r="B3" s="6" t="s">
        <v>4</v>
      </c>
      <c r="C3" s="7" t="s">
        <v>5</v>
      </c>
      <c r="D3" s="6" t="s">
        <v>6</v>
      </c>
      <c r="E3" s="6" t="s">
        <v>7</v>
      </c>
      <c r="F3" s="6" t="s">
        <v>8</v>
      </c>
      <c r="G3" s="1"/>
      <c r="H3" s="6" t="s">
        <v>4</v>
      </c>
      <c r="I3" s="8" t="s">
        <v>5</v>
      </c>
      <c r="J3" s="6" t="s">
        <v>6</v>
      </c>
      <c r="K3" s="6" t="s">
        <v>7</v>
      </c>
      <c r="L3" s="6" t="s">
        <v>8</v>
      </c>
      <c r="M3" s="1"/>
      <c r="N3" s="6" t="s">
        <v>4</v>
      </c>
      <c r="O3" s="8" t="s">
        <v>5</v>
      </c>
      <c r="P3" s="6" t="s">
        <v>6</v>
      </c>
      <c r="Q3" s="6" t="s">
        <v>7</v>
      </c>
      <c r="R3" s="6" t="s">
        <v>8</v>
      </c>
      <c r="S3" s="9"/>
      <c r="T3" s="1"/>
      <c r="U3" s="6" t="s">
        <v>4</v>
      </c>
      <c r="V3" s="8" t="s">
        <v>5</v>
      </c>
      <c r="W3" s="6" t="s">
        <v>6</v>
      </c>
      <c r="X3" s="6" t="s">
        <v>7</v>
      </c>
      <c r="Y3" s="6" t="s">
        <v>8</v>
      </c>
      <c r="AB3" s="1"/>
      <c r="AC3" s="1"/>
      <c r="AD3" s="1"/>
    </row>
    <row r="4">
      <c r="A4" s="1"/>
      <c r="B4" s="10">
        <f t="array" ref="B4:B15">SEQUENCE(12,1)</f>
        <v>1</v>
      </c>
      <c r="C4" s="11" t="s">
        <v>9</v>
      </c>
      <c r="D4" s="12">
        <v>9.0</v>
      </c>
      <c r="E4" s="13">
        <v>12.0</v>
      </c>
      <c r="F4" s="14">
        <f t="shared" ref="F4:F14" si="1">D4+E4</f>
        <v>21</v>
      </c>
      <c r="G4" s="1"/>
      <c r="H4" s="10">
        <f t="array" ref="H4:H15">SEQUENCE(12,1)</f>
        <v>1</v>
      </c>
      <c r="I4" s="15" t="str">
        <f t="shared" ref="I4:I15" si="2">C4</f>
        <v>IQOOTG</v>
      </c>
      <c r="J4" s="12">
        <v>9.0</v>
      </c>
      <c r="K4" s="12">
        <v>10.0</v>
      </c>
      <c r="L4" s="14">
        <f t="shared" ref="L4:L14" si="3">J4+K4</f>
        <v>19</v>
      </c>
      <c r="M4" s="1"/>
      <c r="N4" s="10">
        <f t="array" ref="N4:N15">SEQUENCE(12,1)</f>
        <v>1</v>
      </c>
      <c r="O4" s="15" t="str">
        <f t="shared" ref="O4:O15" si="4">C4</f>
        <v>IQOOTG</v>
      </c>
      <c r="P4" s="12">
        <v>9.0</v>
      </c>
      <c r="Q4" s="12">
        <v>24.0</v>
      </c>
      <c r="R4" s="14">
        <f t="shared" ref="R4:R15" si="5">P4+Q4</f>
        <v>33</v>
      </c>
      <c r="S4" s="16"/>
      <c r="T4" s="1"/>
      <c r="U4" s="10">
        <f t="array" ref="U4:U15">SEQUENCE(12,1)</f>
        <v>1</v>
      </c>
      <c r="V4" s="15" t="str">
        <f t="shared" ref="V4:V15" si="6">C4</f>
        <v>IQOOTG</v>
      </c>
      <c r="W4" s="12">
        <v>8.0</v>
      </c>
      <c r="X4" s="12">
        <v>22.0</v>
      </c>
      <c r="Y4" s="14">
        <f t="shared" ref="Y4:Y15" si="7">W4+X4</f>
        <v>30</v>
      </c>
      <c r="AB4" s="1"/>
      <c r="AC4" s="1"/>
      <c r="AD4" s="1"/>
    </row>
    <row r="5">
      <c r="A5" s="1"/>
      <c r="B5" s="17">
        <v>2.0</v>
      </c>
      <c r="C5" s="18" t="s">
        <v>10</v>
      </c>
      <c r="D5" s="19">
        <v>0.0</v>
      </c>
      <c r="E5" s="19">
        <v>3.0</v>
      </c>
      <c r="F5" s="20">
        <f t="shared" si="1"/>
        <v>3</v>
      </c>
      <c r="G5" s="1"/>
      <c r="H5" s="17">
        <v>2.0</v>
      </c>
      <c r="I5" s="21" t="str">
        <f t="shared" si="2"/>
        <v>MVP</v>
      </c>
      <c r="J5" s="19">
        <v>0.0</v>
      </c>
      <c r="K5" s="19">
        <v>0.0</v>
      </c>
      <c r="L5" s="22">
        <f t="shared" si="3"/>
        <v>0</v>
      </c>
      <c r="M5" s="1"/>
      <c r="N5" s="17">
        <v>2.0</v>
      </c>
      <c r="O5" s="15" t="str">
        <f t="shared" si="4"/>
        <v>MVP</v>
      </c>
      <c r="P5" s="19">
        <v>7.0</v>
      </c>
      <c r="Q5" s="19">
        <v>4.0</v>
      </c>
      <c r="R5" s="22">
        <f t="shared" si="5"/>
        <v>11</v>
      </c>
      <c r="S5" s="16"/>
      <c r="T5" s="1"/>
      <c r="U5" s="17">
        <v>2.0</v>
      </c>
      <c r="V5" s="15" t="str">
        <f t="shared" si="6"/>
        <v>MVP</v>
      </c>
      <c r="W5" s="19">
        <v>5.0</v>
      </c>
      <c r="X5" s="19">
        <v>0.0</v>
      </c>
      <c r="Y5" s="14">
        <f t="shared" si="7"/>
        <v>5</v>
      </c>
      <c r="AB5" s="1"/>
      <c r="AC5" s="1"/>
      <c r="AD5" s="1"/>
    </row>
    <row r="6">
      <c r="A6" s="1"/>
      <c r="B6" s="17">
        <v>3.0</v>
      </c>
      <c r="C6" s="18" t="s">
        <v>11</v>
      </c>
      <c r="D6" s="19">
        <v>8.0</v>
      </c>
      <c r="E6" s="19">
        <v>15.0</v>
      </c>
      <c r="F6" s="20">
        <f t="shared" si="1"/>
        <v>23</v>
      </c>
      <c r="G6" s="1"/>
      <c r="H6" s="17">
        <v>3.0</v>
      </c>
      <c r="I6" s="21" t="str">
        <f t="shared" si="2"/>
        <v>4R</v>
      </c>
      <c r="J6" s="19">
        <v>7.0</v>
      </c>
      <c r="K6" s="19">
        <v>4.0</v>
      </c>
      <c r="L6" s="22">
        <f t="shared" si="3"/>
        <v>11</v>
      </c>
      <c r="M6" s="1"/>
      <c r="N6" s="17">
        <v>3.0</v>
      </c>
      <c r="O6" s="15" t="str">
        <f t="shared" si="4"/>
        <v>4R</v>
      </c>
      <c r="P6" s="19">
        <v>5.0</v>
      </c>
      <c r="Q6" s="19">
        <v>10.0</v>
      </c>
      <c r="R6" s="22">
        <f t="shared" si="5"/>
        <v>15</v>
      </c>
      <c r="S6" s="16"/>
      <c r="T6" s="1"/>
      <c r="U6" s="17">
        <v>3.0</v>
      </c>
      <c r="V6" s="15" t="str">
        <f t="shared" si="6"/>
        <v>4R</v>
      </c>
      <c r="W6" s="19">
        <v>6.0</v>
      </c>
      <c r="X6" s="19">
        <v>1.0</v>
      </c>
      <c r="Y6" s="14">
        <f t="shared" si="7"/>
        <v>7</v>
      </c>
      <c r="AB6" s="1"/>
      <c r="AC6" s="1"/>
      <c r="AD6" s="1"/>
    </row>
    <row r="7">
      <c r="A7" s="1"/>
      <c r="B7" s="17">
        <v>4.0</v>
      </c>
      <c r="C7" s="13" t="s">
        <v>12</v>
      </c>
      <c r="D7" s="19">
        <v>2.0</v>
      </c>
      <c r="E7" s="19">
        <v>6.0</v>
      </c>
      <c r="F7" s="22">
        <f t="shared" si="1"/>
        <v>8</v>
      </c>
      <c r="G7" s="1"/>
      <c r="H7" s="17">
        <v>4.0</v>
      </c>
      <c r="I7" s="21" t="str">
        <f t="shared" si="2"/>
        <v>AG</v>
      </c>
      <c r="J7" s="19">
        <v>12.0</v>
      </c>
      <c r="K7" s="19">
        <v>13.0</v>
      </c>
      <c r="L7" s="22">
        <f t="shared" si="3"/>
        <v>25</v>
      </c>
      <c r="M7" s="1"/>
      <c r="N7" s="17">
        <v>4.0</v>
      </c>
      <c r="O7" s="15" t="str">
        <f t="shared" si="4"/>
        <v>AG</v>
      </c>
      <c r="P7" s="19">
        <v>4.0</v>
      </c>
      <c r="Q7" s="19">
        <v>9.0</v>
      </c>
      <c r="R7" s="22">
        <f t="shared" si="5"/>
        <v>13</v>
      </c>
      <c r="S7" s="16"/>
      <c r="T7" s="1"/>
      <c r="U7" s="17">
        <v>4.0</v>
      </c>
      <c r="V7" s="15" t="str">
        <f t="shared" si="6"/>
        <v>AG</v>
      </c>
      <c r="W7" s="19">
        <v>12.0</v>
      </c>
      <c r="X7" s="19">
        <v>13.0</v>
      </c>
      <c r="Y7" s="14">
        <f t="shared" si="7"/>
        <v>25</v>
      </c>
      <c r="AB7" s="1"/>
      <c r="AC7" s="1"/>
      <c r="AD7" s="23" t="s">
        <v>13</v>
      </c>
    </row>
    <row r="8">
      <c r="A8" s="1"/>
      <c r="B8" s="17">
        <v>5.0</v>
      </c>
      <c r="C8" s="18" t="s">
        <v>14</v>
      </c>
      <c r="D8" s="19">
        <v>6.0</v>
      </c>
      <c r="E8" s="19">
        <v>8.0</v>
      </c>
      <c r="F8" s="22">
        <f t="shared" si="1"/>
        <v>14</v>
      </c>
      <c r="G8" s="1"/>
      <c r="H8" s="17">
        <v>5.0</v>
      </c>
      <c r="I8" s="21" t="str">
        <f t="shared" si="2"/>
        <v>REX</v>
      </c>
      <c r="J8" s="19">
        <v>8.0</v>
      </c>
      <c r="K8" s="19">
        <v>12.0</v>
      </c>
      <c r="L8" s="22">
        <f t="shared" si="3"/>
        <v>20</v>
      </c>
      <c r="M8" s="1"/>
      <c r="N8" s="17">
        <v>5.0</v>
      </c>
      <c r="O8" s="15" t="str">
        <f t="shared" si="4"/>
        <v>REX</v>
      </c>
      <c r="P8" s="19">
        <v>12.0</v>
      </c>
      <c r="Q8" s="19">
        <v>21.0</v>
      </c>
      <c r="R8" s="22">
        <f t="shared" si="5"/>
        <v>33</v>
      </c>
      <c r="S8" s="16"/>
      <c r="T8" s="1"/>
      <c r="U8" s="17">
        <v>5.0</v>
      </c>
      <c r="V8" s="15" t="str">
        <f t="shared" si="6"/>
        <v>REX</v>
      </c>
      <c r="W8" s="19">
        <v>2.0</v>
      </c>
      <c r="X8" s="19">
        <v>9.0</v>
      </c>
      <c r="Y8" s="14">
        <f t="shared" si="7"/>
        <v>11</v>
      </c>
      <c r="AB8" s="1"/>
      <c r="AC8" s="1"/>
      <c r="AD8" s="1"/>
    </row>
    <row r="9">
      <c r="A9" s="1"/>
      <c r="B9" s="17">
        <v>6.0</v>
      </c>
      <c r="C9" s="18" t="s">
        <v>15</v>
      </c>
      <c r="D9" s="19">
        <v>7.0</v>
      </c>
      <c r="E9" s="19">
        <v>5.0</v>
      </c>
      <c r="F9" s="22">
        <f t="shared" si="1"/>
        <v>12</v>
      </c>
      <c r="G9" s="1"/>
      <c r="H9" s="17">
        <v>6.0</v>
      </c>
      <c r="I9" s="21" t="str">
        <f t="shared" si="2"/>
        <v>JRG</v>
      </c>
      <c r="J9" s="19">
        <v>4.0</v>
      </c>
      <c r="K9" s="19">
        <v>3.0</v>
      </c>
      <c r="L9" s="22">
        <f t="shared" si="3"/>
        <v>7</v>
      </c>
      <c r="M9" s="1"/>
      <c r="N9" s="17">
        <v>6.0</v>
      </c>
      <c r="O9" s="15" t="str">
        <f t="shared" si="4"/>
        <v>JRG</v>
      </c>
      <c r="P9" s="19">
        <v>3.0</v>
      </c>
      <c r="Q9" s="19">
        <v>7.0</v>
      </c>
      <c r="R9" s="22">
        <f t="shared" si="5"/>
        <v>10</v>
      </c>
      <c r="S9" s="16"/>
      <c r="T9" s="1"/>
      <c r="U9" s="17">
        <v>6.0</v>
      </c>
      <c r="V9" s="15" t="str">
        <f t="shared" si="6"/>
        <v>JRG</v>
      </c>
      <c r="W9" s="19">
        <v>1.0</v>
      </c>
      <c r="X9" s="19">
        <v>2.0</v>
      </c>
      <c r="Y9" s="14">
        <f t="shared" si="7"/>
        <v>3</v>
      </c>
      <c r="AB9" s="1"/>
      <c r="AC9" s="1"/>
      <c r="AD9" s="1"/>
    </row>
    <row r="10">
      <c r="A10" s="1"/>
      <c r="B10" s="17">
        <v>7.0</v>
      </c>
      <c r="C10" s="18" t="s">
        <v>16</v>
      </c>
      <c r="D10" s="19">
        <v>1.0</v>
      </c>
      <c r="E10" s="19">
        <v>1.0</v>
      </c>
      <c r="F10" s="22">
        <f t="shared" si="1"/>
        <v>2</v>
      </c>
      <c r="G10" s="1"/>
      <c r="H10" s="17">
        <v>7.0</v>
      </c>
      <c r="I10" s="21" t="str">
        <f t="shared" si="2"/>
        <v>WNT</v>
      </c>
      <c r="J10" s="19">
        <v>0.0</v>
      </c>
      <c r="K10" s="19">
        <v>0.0</v>
      </c>
      <c r="L10" s="22">
        <f t="shared" si="3"/>
        <v>0</v>
      </c>
      <c r="M10" s="1"/>
      <c r="N10" s="24">
        <v>7.0</v>
      </c>
      <c r="O10" s="15" t="str">
        <f t="shared" si="4"/>
        <v>WNT</v>
      </c>
      <c r="P10" s="19">
        <v>8.0</v>
      </c>
      <c r="Q10" s="19">
        <v>5.0</v>
      </c>
      <c r="R10" s="22">
        <f t="shared" si="5"/>
        <v>13</v>
      </c>
      <c r="S10" s="16"/>
      <c r="T10" s="1"/>
      <c r="U10" s="17">
        <v>7.0</v>
      </c>
      <c r="V10" s="15" t="str">
        <f t="shared" si="6"/>
        <v>WNT</v>
      </c>
      <c r="W10" s="19">
        <v>3.0</v>
      </c>
      <c r="X10" s="19">
        <v>4.0</v>
      </c>
      <c r="Y10" s="14">
        <f t="shared" si="7"/>
        <v>7</v>
      </c>
      <c r="AB10" s="1"/>
      <c r="AC10" s="1"/>
    </row>
    <row r="11">
      <c r="A11" s="1"/>
      <c r="B11" s="17">
        <v>8.0</v>
      </c>
      <c r="C11" s="18" t="s">
        <v>17</v>
      </c>
      <c r="D11" s="19">
        <v>4.0</v>
      </c>
      <c r="E11" s="12">
        <v>4.0</v>
      </c>
      <c r="F11" s="22">
        <f t="shared" si="1"/>
        <v>8</v>
      </c>
      <c r="G11" s="1"/>
      <c r="H11" s="17">
        <v>8.0</v>
      </c>
      <c r="I11" s="21" t="str">
        <f t="shared" si="2"/>
        <v>VG</v>
      </c>
      <c r="J11" s="19">
        <v>3.0</v>
      </c>
      <c r="K11" s="19">
        <v>7.0</v>
      </c>
      <c r="L11" s="22">
        <f t="shared" si="3"/>
        <v>10</v>
      </c>
      <c r="M11" s="1"/>
      <c r="N11" s="25">
        <v>8.0</v>
      </c>
      <c r="O11" s="21" t="str">
        <f t="shared" si="4"/>
        <v>VG</v>
      </c>
      <c r="P11" s="19">
        <v>1.0</v>
      </c>
      <c r="Q11" s="19">
        <v>0.0</v>
      </c>
      <c r="R11" s="22">
        <f t="shared" si="5"/>
        <v>1</v>
      </c>
      <c r="S11" s="16"/>
      <c r="T11" s="1"/>
      <c r="U11" s="17">
        <v>8.0</v>
      </c>
      <c r="V11" s="15" t="str">
        <f t="shared" si="6"/>
        <v>VG</v>
      </c>
      <c r="W11" s="19">
        <v>0.0</v>
      </c>
      <c r="X11" s="19">
        <v>1.0</v>
      </c>
      <c r="Y11" s="14">
        <f t="shared" si="7"/>
        <v>1</v>
      </c>
      <c r="AB11" s="1"/>
      <c r="AC11" s="1"/>
      <c r="AD11" s="26" t="s">
        <v>18</v>
      </c>
    </row>
    <row r="12">
      <c r="A12" s="1"/>
      <c r="B12" s="17">
        <v>9.0</v>
      </c>
      <c r="C12" s="11" t="s">
        <v>19</v>
      </c>
      <c r="D12" s="19">
        <v>5.0</v>
      </c>
      <c r="E12" s="19">
        <v>15.0</v>
      </c>
      <c r="F12" s="22">
        <f t="shared" si="1"/>
        <v>20</v>
      </c>
      <c r="G12" s="1"/>
      <c r="H12" s="17">
        <v>9.0</v>
      </c>
      <c r="I12" s="21" t="str">
        <f t="shared" si="2"/>
        <v>KRGR</v>
      </c>
      <c r="J12" s="19">
        <v>5.0</v>
      </c>
      <c r="K12" s="19">
        <v>6.0</v>
      </c>
      <c r="L12" s="22">
        <f t="shared" si="3"/>
        <v>11</v>
      </c>
      <c r="M12" s="1"/>
      <c r="N12" s="10">
        <v>9.0</v>
      </c>
      <c r="O12" s="15" t="str">
        <f t="shared" si="4"/>
        <v>KRGR</v>
      </c>
      <c r="P12" s="19">
        <v>0.0</v>
      </c>
      <c r="Q12" s="19">
        <v>1.0</v>
      </c>
      <c r="R12" s="22">
        <f t="shared" si="5"/>
        <v>1</v>
      </c>
      <c r="S12" s="16"/>
      <c r="T12" s="1"/>
      <c r="U12" s="17">
        <v>9.0</v>
      </c>
      <c r="V12" s="15" t="str">
        <f t="shared" si="6"/>
        <v>KRGR</v>
      </c>
      <c r="W12" s="19">
        <v>9.0</v>
      </c>
      <c r="X12" s="19">
        <v>11.0</v>
      </c>
      <c r="Y12" s="14">
        <f t="shared" si="7"/>
        <v>20</v>
      </c>
      <c r="AB12" s="1"/>
      <c r="AC12" s="1"/>
    </row>
    <row r="13">
      <c r="A13" s="1"/>
      <c r="B13" s="17">
        <v>10.0</v>
      </c>
      <c r="C13" s="18" t="s">
        <v>20</v>
      </c>
      <c r="D13" s="19">
        <v>0.0</v>
      </c>
      <c r="E13" s="19">
        <v>1.0</v>
      </c>
      <c r="F13" s="22">
        <f t="shared" si="1"/>
        <v>1</v>
      </c>
      <c r="G13" s="1"/>
      <c r="H13" s="17">
        <v>10.0</v>
      </c>
      <c r="I13" s="21" t="str">
        <f t="shared" si="2"/>
        <v>XM</v>
      </c>
      <c r="J13" s="19">
        <v>1.0</v>
      </c>
      <c r="K13" s="19">
        <v>2.0</v>
      </c>
      <c r="L13" s="22">
        <f t="shared" si="3"/>
        <v>3</v>
      </c>
      <c r="M13" s="1"/>
      <c r="N13" s="17">
        <v>10.0</v>
      </c>
      <c r="O13" s="15" t="str">
        <f t="shared" si="4"/>
        <v>XM</v>
      </c>
      <c r="P13" s="19">
        <v>6.0</v>
      </c>
      <c r="Q13" s="19">
        <v>4.0</v>
      </c>
      <c r="R13" s="22">
        <f t="shared" si="5"/>
        <v>10</v>
      </c>
      <c r="S13" s="16"/>
      <c r="T13" s="1"/>
      <c r="U13" s="17">
        <v>10.0</v>
      </c>
      <c r="V13" s="15" t="str">
        <f t="shared" si="6"/>
        <v>XM</v>
      </c>
      <c r="W13" s="19">
        <v>7.0</v>
      </c>
      <c r="X13" s="19">
        <v>4.0</v>
      </c>
      <c r="Y13" s="14">
        <f t="shared" si="7"/>
        <v>11</v>
      </c>
      <c r="AB13" s="1"/>
      <c r="AC13" s="1"/>
      <c r="AD13" s="1"/>
    </row>
    <row r="14">
      <c r="A14" s="1"/>
      <c r="B14" s="17">
        <v>11.0</v>
      </c>
      <c r="C14" s="18" t="s">
        <v>21</v>
      </c>
      <c r="D14" s="19">
        <v>12.0</v>
      </c>
      <c r="E14" s="19">
        <v>20.0</v>
      </c>
      <c r="F14" s="22">
        <f t="shared" si="1"/>
        <v>32</v>
      </c>
      <c r="G14" s="1"/>
      <c r="H14" s="17">
        <v>11.0</v>
      </c>
      <c r="I14" s="21" t="str">
        <f t="shared" si="2"/>
        <v>S8UL</v>
      </c>
      <c r="J14" s="19">
        <v>6.0</v>
      </c>
      <c r="K14" s="19">
        <v>11.0</v>
      </c>
      <c r="L14" s="20">
        <f t="shared" si="3"/>
        <v>17</v>
      </c>
      <c r="M14" s="1"/>
      <c r="N14" s="17">
        <v>11.0</v>
      </c>
      <c r="O14" s="15" t="str">
        <f t="shared" si="4"/>
        <v>S8UL</v>
      </c>
      <c r="P14" s="19">
        <v>2.0</v>
      </c>
      <c r="Q14" s="19">
        <v>10.0</v>
      </c>
      <c r="R14" s="22">
        <f t="shared" si="5"/>
        <v>12</v>
      </c>
      <c r="S14" s="16"/>
      <c r="T14" s="1"/>
      <c r="U14" s="17">
        <v>11.0</v>
      </c>
      <c r="V14" s="15" t="str">
        <f t="shared" si="6"/>
        <v>S8UL</v>
      </c>
      <c r="W14" s="19">
        <v>4.0</v>
      </c>
      <c r="X14" s="19">
        <v>12.0</v>
      </c>
      <c r="Y14" s="14">
        <f t="shared" si="7"/>
        <v>16</v>
      </c>
      <c r="AB14" s="1"/>
      <c r="AC14" s="1"/>
      <c r="AD14" s="1"/>
    </row>
    <row r="15">
      <c r="A15" s="1"/>
      <c r="B15" s="27">
        <v>12.0</v>
      </c>
      <c r="C15" s="28" t="s">
        <v>22</v>
      </c>
      <c r="D15" s="29">
        <v>3.0</v>
      </c>
      <c r="E15" s="29">
        <v>5.0</v>
      </c>
      <c r="F15" s="30">
        <f>C45+E15</f>
        <v>13</v>
      </c>
      <c r="G15" s="1"/>
      <c r="H15" s="27">
        <v>12.0</v>
      </c>
      <c r="I15" s="31" t="str">
        <f t="shared" si="2"/>
        <v>TT</v>
      </c>
      <c r="J15" s="29">
        <v>2.0</v>
      </c>
      <c r="K15" s="29">
        <v>4.0</v>
      </c>
      <c r="L15" s="30">
        <f>E45+K15</f>
        <v>13</v>
      </c>
      <c r="M15" s="1"/>
      <c r="N15" s="27">
        <v>12.0</v>
      </c>
      <c r="O15" s="32" t="str">
        <f t="shared" si="4"/>
        <v>TT</v>
      </c>
      <c r="P15" s="29">
        <v>0.0</v>
      </c>
      <c r="Q15" s="29">
        <v>0.0</v>
      </c>
      <c r="R15" s="22">
        <f t="shared" si="5"/>
        <v>0</v>
      </c>
      <c r="S15" s="16"/>
      <c r="T15" s="1"/>
      <c r="U15" s="24">
        <v>12.0</v>
      </c>
      <c r="V15" s="33" t="str">
        <f t="shared" si="6"/>
        <v>TT</v>
      </c>
      <c r="W15" s="34">
        <v>0.0</v>
      </c>
      <c r="X15" s="34">
        <v>0.0</v>
      </c>
      <c r="Y15" s="14">
        <f t="shared" si="7"/>
        <v>0</v>
      </c>
      <c r="AB15" s="1"/>
      <c r="AC15" s="1"/>
      <c r="AD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35"/>
      <c r="V16" s="36"/>
      <c r="W16" s="36"/>
      <c r="X16" s="36"/>
      <c r="Y16" s="36"/>
      <c r="Z16" s="36"/>
      <c r="AA16" s="36"/>
      <c r="AB16" s="36"/>
      <c r="AC16" s="37"/>
      <c r="AD16" s="1"/>
    </row>
    <row r="17">
      <c r="A17" s="1"/>
      <c r="B17" s="2" t="s">
        <v>23</v>
      </c>
      <c r="C17" s="3"/>
      <c r="D17" s="3"/>
      <c r="E17" s="3"/>
      <c r="F17" s="4"/>
      <c r="G17" s="1"/>
      <c r="H17" s="2" t="s">
        <v>24</v>
      </c>
      <c r="I17" s="3"/>
      <c r="J17" s="3"/>
      <c r="K17" s="3"/>
      <c r="L17" s="4"/>
      <c r="M17" s="1"/>
      <c r="N17" s="38" t="s">
        <v>25</v>
      </c>
      <c r="O17" s="3"/>
      <c r="P17" s="3"/>
      <c r="Q17" s="3"/>
      <c r="R17" s="3"/>
      <c r="S17" s="3"/>
      <c r="T17" s="4"/>
      <c r="U17" s="39"/>
      <c r="V17" s="40" t="s">
        <v>26</v>
      </c>
      <c r="W17" s="41"/>
      <c r="X17" s="41"/>
      <c r="Y17" s="41"/>
      <c r="Z17" s="41"/>
      <c r="AA17" s="41"/>
      <c r="AB17" s="42"/>
      <c r="AC17" s="43"/>
      <c r="AD17" s="44"/>
    </row>
    <row r="18">
      <c r="A18" s="1"/>
      <c r="B18" s="6" t="s">
        <v>4</v>
      </c>
      <c r="C18" s="8" t="s">
        <v>5</v>
      </c>
      <c r="D18" s="6" t="s">
        <v>6</v>
      </c>
      <c r="E18" s="6" t="s">
        <v>7</v>
      </c>
      <c r="F18" s="6" t="s">
        <v>8</v>
      </c>
      <c r="G18" s="1"/>
      <c r="H18" s="6" t="s">
        <v>4</v>
      </c>
      <c r="I18" s="8" t="s">
        <v>5</v>
      </c>
      <c r="J18" s="6" t="s">
        <v>6</v>
      </c>
      <c r="K18" s="6" t="s">
        <v>7</v>
      </c>
      <c r="L18" s="6" t="s">
        <v>8</v>
      </c>
      <c r="M18" s="1"/>
      <c r="N18" s="6" t="s">
        <v>4</v>
      </c>
      <c r="O18" s="11" t="s">
        <v>27</v>
      </c>
      <c r="P18" s="45" t="s">
        <v>28</v>
      </c>
      <c r="Q18" s="45" t="s">
        <v>29</v>
      </c>
      <c r="R18" s="45" t="s">
        <v>30</v>
      </c>
      <c r="S18" s="45" t="s">
        <v>31</v>
      </c>
      <c r="T18" s="46" t="s">
        <v>32</v>
      </c>
      <c r="U18" s="47"/>
      <c r="V18" s="48" t="s">
        <v>4</v>
      </c>
      <c r="W18" s="48" t="s">
        <v>27</v>
      </c>
      <c r="X18" s="48" t="s">
        <v>28</v>
      </c>
      <c r="Y18" s="48" t="s">
        <v>29</v>
      </c>
      <c r="Z18" s="48" t="s">
        <v>30</v>
      </c>
      <c r="AA18" s="48" t="s">
        <v>31</v>
      </c>
      <c r="AB18" s="48" t="s">
        <v>32</v>
      </c>
      <c r="AC18" s="49"/>
      <c r="AD18" s="5"/>
    </row>
    <row r="19">
      <c r="A19" s="1"/>
      <c r="B19" s="10">
        <f t="array" ref="B19:B30">SEQUENCE(12,1)</f>
        <v>1</v>
      </c>
      <c r="C19" s="15" t="str">
        <f t="shared" ref="C19:C30" si="8">C4</f>
        <v>IQOOTG</v>
      </c>
      <c r="D19" s="12">
        <v>8.0</v>
      </c>
      <c r="E19" s="12">
        <v>13.0</v>
      </c>
      <c r="F19" s="50">
        <f t="shared" ref="F19:F30" si="9">D19+E19</f>
        <v>21</v>
      </c>
      <c r="G19" s="1"/>
      <c r="H19" s="10">
        <f t="array" ref="H19:H30">SEQUENCE(12,1)</f>
        <v>1</v>
      </c>
      <c r="I19" s="15" t="str">
        <f t="shared" ref="I19:I30" si="10">C4</f>
        <v>IQOOTG</v>
      </c>
      <c r="J19" s="12">
        <v>7.0</v>
      </c>
      <c r="K19" s="12">
        <v>9.0</v>
      </c>
      <c r="L19" s="14">
        <f t="shared" ref="L19:L30" si="11">J19+K19</f>
        <v>16</v>
      </c>
      <c r="M19" s="1"/>
      <c r="N19" s="51">
        <v>1.0</v>
      </c>
      <c r="O19" s="11" t="s">
        <v>33</v>
      </c>
      <c r="P19" s="12">
        <f t="shared" ref="P19:P30" si="12">C46+E46+G46+I46+K46+M46</f>
        <v>0</v>
      </c>
      <c r="Q19" s="52">
        <f t="shared" ref="Q19:Q30" si="13">COUNT(D4,J4,P4,W4,D19,J19)</f>
        <v>6</v>
      </c>
      <c r="R19" s="53">
        <f t="shared" ref="R19:R30" si="14">P4+J4+D4+W4+D19+J19</f>
        <v>50</v>
      </c>
      <c r="S19" s="53">
        <f t="shared" ref="S19:S25" si="15">E4+K4+Q4+X4+E19+K19</f>
        <v>90</v>
      </c>
      <c r="T19" s="54">
        <f t="shared" ref="T19:T30" si="16">R19+S19</f>
        <v>140</v>
      </c>
      <c r="U19" s="47"/>
      <c r="V19" s="55">
        <f t="array" ref="V19:V30">SEQUENCE(12,1)</f>
        <v>1</v>
      </c>
      <c r="W19" s="56" t="str">
        <f t="array" ref="W19:AB30">SORT(O19:T30,6,FALSE,2,FALSE,5,FALSE,4,FALSE)</f>
        <v>Total Gaming</v>
      </c>
      <c r="X19" s="56">
        <v>0.0</v>
      </c>
      <c r="Y19" s="56">
        <v>6.0</v>
      </c>
      <c r="Z19" s="57">
        <v>50.0</v>
      </c>
      <c r="AA19" s="57">
        <v>90.0</v>
      </c>
      <c r="AB19" s="58">
        <v>140.0</v>
      </c>
      <c r="AC19" s="49"/>
      <c r="AD19" s="16"/>
    </row>
    <row r="20">
      <c r="A20" s="1"/>
      <c r="B20" s="17">
        <v>2.0</v>
      </c>
      <c r="C20" s="15" t="str">
        <f t="shared" si="8"/>
        <v>MVP</v>
      </c>
      <c r="D20" s="19">
        <v>1.0</v>
      </c>
      <c r="E20" s="19">
        <v>0.0</v>
      </c>
      <c r="F20" s="50">
        <f t="shared" si="9"/>
        <v>1</v>
      </c>
      <c r="G20" s="1"/>
      <c r="H20" s="17">
        <v>2.0</v>
      </c>
      <c r="I20" s="15" t="str">
        <f t="shared" si="10"/>
        <v>MVP</v>
      </c>
      <c r="J20" s="19">
        <v>1.0</v>
      </c>
      <c r="K20" s="19">
        <v>4.0</v>
      </c>
      <c r="L20" s="14">
        <f t="shared" si="11"/>
        <v>5</v>
      </c>
      <c r="M20" s="1"/>
      <c r="N20" s="59">
        <v>2.0</v>
      </c>
      <c r="O20" s="11" t="s">
        <v>34</v>
      </c>
      <c r="P20" s="12">
        <f t="shared" si="12"/>
        <v>0</v>
      </c>
      <c r="Q20" s="52">
        <f t="shared" si="13"/>
        <v>6</v>
      </c>
      <c r="R20" s="53">
        <f t="shared" si="14"/>
        <v>14</v>
      </c>
      <c r="S20" s="53">
        <f t="shared" si="15"/>
        <v>11</v>
      </c>
      <c r="T20" s="54">
        <f t="shared" si="16"/>
        <v>25</v>
      </c>
      <c r="U20" s="47"/>
      <c r="V20" s="60">
        <v>2.0</v>
      </c>
      <c r="W20" s="61" t="s">
        <v>35</v>
      </c>
      <c r="X20" s="61">
        <v>2.0</v>
      </c>
      <c r="Y20" s="61">
        <v>6.0</v>
      </c>
      <c r="Z20" s="62">
        <v>43.0</v>
      </c>
      <c r="AA20" s="62">
        <v>89.0</v>
      </c>
      <c r="AB20" s="63">
        <v>132.0</v>
      </c>
      <c r="AC20" s="49"/>
      <c r="AD20" s="16"/>
    </row>
    <row r="21">
      <c r="A21" s="1"/>
      <c r="B21" s="17">
        <v>3.0</v>
      </c>
      <c r="C21" s="15" t="str">
        <f t="shared" si="8"/>
        <v>4R</v>
      </c>
      <c r="D21" s="19">
        <v>5.0</v>
      </c>
      <c r="E21" s="19">
        <v>14.0</v>
      </c>
      <c r="F21" s="50">
        <f t="shared" si="9"/>
        <v>19</v>
      </c>
      <c r="G21" s="1"/>
      <c r="H21" s="17">
        <v>3.0</v>
      </c>
      <c r="I21" s="15" t="str">
        <f t="shared" si="10"/>
        <v>4R</v>
      </c>
      <c r="J21" s="19">
        <v>5.0</v>
      </c>
      <c r="K21" s="19">
        <v>9.0</v>
      </c>
      <c r="L21" s="14">
        <f t="shared" si="11"/>
        <v>14</v>
      </c>
      <c r="M21" s="1"/>
      <c r="N21" s="59">
        <v>3.0</v>
      </c>
      <c r="O21" s="11" t="s">
        <v>36</v>
      </c>
      <c r="P21" s="12">
        <f t="shared" si="12"/>
        <v>0</v>
      </c>
      <c r="Q21" s="52">
        <f t="shared" si="13"/>
        <v>6</v>
      </c>
      <c r="R21" s="53">
        <f t="shared" si="14"/>
        <v>36</v>
      </c>
      <c r="S21" s="53">
        <f t="shared" si="15"/>
        <v>53</v>
      </c>
      <c r="T21" s="54">
        <f t="shared" si="16"/>
        <v>89</v>
      </c>
      <c r="U21" s="47"/>
      <c r="V21" s="64">
        <v>3.0</v>
      </c>
      <c r="W21" s="65" t="s">
        <v>37</v>
      </c>
      <c r="X21" s="66">
        <v>1.0</v>
      </c>
      <c r="Y21" s="66">
        <v>6.0</v>
      </c>
      <c r="Z21" s="67">
        <v>32.0</v>
      </c>
      <c r="AA21" s="67">
        <v>60.0</v>
      </c>
      <c r="AB21" s="68">
        <v>92.0</v>
      </c>
      <c r="AC21" s="49"/>
      <c r="AD21" s="16"/>
    </row>
    <row r="22">
      <c r="A22" s="1"/>
      <c r="B22" s="17">
        <v>4.0</v>
      </c>
      <c r="C22" s="15" t="str">
        <f t="shared" si="8"/>
        <v>AG</v>
      </c>
      <c r="D22" s="19">
        <v>0.0</v>
      </c>
      <c r="E22" s="19">
        <v>1.0</v>
      </c>
      <c r="F22" s="50">
        <f t="shared" si="9"/>
        <v>1</v>
      </c>
      <c r="G22" s="1"/>
      <c r="H22" s="17">
        <v>4.0</v>
      </c>
      <c r="I22" s="15" t="str">
        <f t="shared" si="10"/>
        <v>AG</v>
      </c>
      <c r="J22" s="19">
        <v>6.0</v>
      </c>
      <c r="K22" s="19">
        <v>13.0</v>
      </c>
      <c r="L22" s="14">
        <f t="shared" si="11"/>
        <v>19</v>
      </c>
      <c r="M22" s="1"/>
      <c r="N22" s="59">
        <v>4.0</v>
      </c>
      <c r="O22" s="11" t="s">
        <v>38</v>
      </c>
      <c r="P22" s="12">
        <f t="shared" si="12"/>
        <v>2</v>
      </c>
      <c r="Q22" s="52">
        <f t="shared" si="13"/>
        <v>6</v>
      </c>
      <c r="R22" s="53">
        <f t="shared" si="14"/>
        <v>36</v>
      </c>
      <c r="S22" s="53">
        <f t="shared" si="15"/>
        <v>55</v>
      </c>
      <c r="T22" s="54">
        <f t="shared" si="16"/>
        <v>91</v>
      </c>
      <c r="U22" s="47"/>
      <c r="V22" s="69">
        <v>4.0</v>
      </c>
      <c r="W22" s="70" t="s">
        <v>38</v>
      </c>
      <c r="X22" s="71">
        <v>2.0</v>
      </c>
      <c r="Y22" s="71">
        <v>6.0</v>
      </c>
      <c r="Z22" s="72">
        <v>36.0</v>
      </c>
      <c r="AA22" s="72">
        <v>55.0</v>
      </c>
      <c r="AB22" s="73">
        <v>91.0</v>
      </c>
      <c r="AC22" s="49"/>
      <c r="AD22" s="16"/>
    </row>
    <row r="23">
      <c r="A23" s="1"/>
      <c r="B23" s="17">
        <v>5.0</v>
      </c>
      <c r="C23" s="15" t="str">
        <f t="shared" si="8"/>
        <v>REX</v>
      </c>
      <c r="D23" s="19">
        <v>4.0</v>
      </c>
      <c r="E23" s="19">
        <v>10.0</v>
      </c>
      <c r="F23" s="50">
        <f t="shared" si="9"/>
        <v>14</v>
      </c>
      <c r="G23" s="1"/>
      <c r="H23" s="17">
        <v>5.0</v>
      </c>
      <c r="I23" s="15" t="str">
        <f t="shared" si="10"/>
        <v>REX</v>
      </c>
      <c r="J23" s="19">
        <v>0.0</v>
      </c>
      <c r="K23" s="19">
        <v>0.0</v>
      </c>
      <c r="L23" s="14">
        <f t="shared" si="11"/>
        <v>0</v>
      </c>
      <c r="M23" s="1"/>
      <c r="N23" s="59">
        <v>5.0</v>
      </c>
      <c r="O23" s="11" t="s">
        <v>37</v>
      </c>
      <c r="P23" s="12">
        <f t="shared" si="12"/>
        <v>1</v>
      </c>
      <c r="Q23" s="52">
        <f t="shared" si="13"/>
        <v>6</v>
      </c>
      <c r="R23" s="53">
        <f t="shared" si="14"/>
        <v>32</v>
      </c>
      <c r="S23" s="53">
        <f t="shared" si="15"/>
        <v>60</v>
      </c>
      <c r="T23" s="54">
        <f t="shared" si="16"/>
        <v>92</v>
      </c>
      <c r="U23" s="47"/>
      <c r="V23" s="74">
        <v>5.0</v>
      </c>
      <c r="W23" s="75" t="s">
        <v>36</v>
      </c>
      <c r="X23" s="76">
        <v>0.0</v>
      </c>
      <c r="Y23" s="76">
        <v>6.0</v>
      </c>
      <c r="Z23" s="77">
        <v>36.0</v>
      </c>
      <c r="AA23" s="77">
        <v>53.0</v>
      </c>
      <c r="AB23" s="78">
        <v>89.0</v>
      </c>
      <c r="AC23" s="49"/>
      <c r="AD23" s="16"/>
    </row>
    <row r="24">
      <c r="A24" s="1"/>
      <c r="B24" s="17">
        <v>6.0</v>
      </c>
      <c r="C24" s="15" t="str">
        <f t="shared" si="8"/>
        <v>JRG</v>
      </c>
      <c r="D24" s="19">
        <v>9.0</v>
      </c>
      <c r="E24" s="19">
        <v>13.0</v>
      </c>
      <c r="F24" s="50">
        <f t="shared" si="9"/>
        <v>22</v>
      </c>
      <c r="G24" s="1"/>
      <c r="H24" s="17">
        <v>6.0</v>
      </c>
      <c r="I24" s="15" t="str">
        <f t="shared" si="10"/>
        <v>JRG</v>
      </c>
      <c r="J24" s="19">
        <v>9.0</v>
      </c>
      <c r="K24" s="19">
        <v>9.0</v>
      </c>
      <c r="L24" s="14">
        <f t="shared" si="11"/>
        <v>18</v>
      </c>
      <c r="M24" s="1"/>
      <c r="N24" s="59">
        <v>6.0</v>
      </c>
      <c r="O24" s="11" t="s">
        <v>39</v>
      </c>
      <c r="P24" s="12">
        <f t="shared" si="12"/>
        <v>0</v>
      </c>
      <c r="Q24" s="52">
        <f t="shared" si="13"/>
        <v>6</v>
      </c>
      <c r="R24" s="53">
        <f t="shared" si="14"/>
        <v>33</v>
      </c>
      <c r="S24" s="53">
        <f t="shared" si="15"/>
        <v>39</v>
      </c>
      <c r="T24" s="54">
        <f t="shared" si="16"/>
        <v>72</v>
      </c>
      <c r="U24" s="47"/>
      <c r="V24" s="74">
        <v>6.0</v>
      </c>
      <c r="W24" s="75" t="s">
        <v>40</v>
      </c>
      <c r="X24" s="76">
        <v>0.0</v>
      </c>
      <c r="Y24" s="76">
        <v>6.0</v>
      </c>
      <c r="Z24" s="77">
        <v>29.0</v>
      </c>
      <c r="AA24" s="77">
        <v>58.0</v>
      </c>
      <c r="AB24" s="78">
        <v>87.0</v>
      </c>
      <c r="AC24" s="49"/>
      <c r="AD24" s="16"/>
    </row>
    <row r="25">
      <c r="A25" s="1"/>
      <c r="B25" s="17">
        <v>7.0</v>
      </c>
      <c r="C25" s="15" t="str">
        <f t="shared" si="8"/>
        <v>WNT</v>
      </c>
      <c r="D25" s="19">
        <v>0.0</v>
      </c>
      <c r="E25" s="19">
        <v>1.0</v>
      </c>
      <c r="F25" s="50">
        <f t="shared" si="9"/>
        <v>1</v>
      </c>
      <c r="G25" s="1"/>
      <c r="H25" s="17">
        <v>7.0</v>
      </c>
      <c r="I25" s="15" t="str">
        <f t="shared" si="10"/>
        <v>WNT</v>
      </c>
      <c r="J25" s="19">
        <v>4.0</v>
      </c>
      <c r="K25" s="19">
        <v>5.0</v>
      </c>
      <c r="L25" s="14">
        <f t="shared" si="11"/>
        <v>9</v>
      </c>
      <c r="M25" s="1"/>
      <c r="N25" s="59">
        <v>7.0</v>
      </c>
      <c r="O25" s="18" t="s">
        <v>41</v>
      </c>
      <c r="P25" s="12">
        <f t="shared" si="12"/>
        <v>0</v>
      </c>
      <c r="Q25" s="52">
        <f t="shared" si="13"/>
        <v>6</v>
      </c>
      <c r="R25" s="53">
        <f t="shared" si="14"/>
        <v>16</v>
      </c>
      <c r="S25" s="53">
        <f t="shared" si="15"/>
        <v>16</v>
      </c>
      <c r="T25" s="54">
        <f t="shared" si="16"/>
        <v>32</v>
      </c>
      <c r="U25" s="47"/>
      <c r="V25" s="79">
        <v>7.0</v>
      </c>
      <c r="W25" s="80" t="s">
        <v>39</v>
      </c>
      <c r="X25" s="81">
        <v>0.0</v>
      </c>
      <c r="Y25" s="81">
        <v>6.0</v>
      </c>
      <c r="Z25" s="82">
        <v>33.0</v>
      </c>
      <c r="AA25" s="82">
        <v>39.0</v>
      </c>
      <c r="AB25" s="83">
        <v>72.0</v>
      </c>
      <c r="AC25" s="49"/>
      <c r="AD25" s="16"/>
    </row>
    <row r="26">
      <c r="A26" s="1"/>
      <c r="B26" s="17">
        <v>8.0</v>
      </c>
      <c r="C26" s="15" t="str">
        <f t="shared" si="8"/>
        <v>VG</v>
      </c>
      <c r="D26" s="19">
        <v>3.0</v>
      </c>
      <c r="E26" s="19">
        <v>2.0</v>
      </c>
      <c r="F26" s="50">
        <f t="shared" si="9"/>
        <v>5</v>
      </c>
      <c r="G26" s="1"/>
      <c r="H26" s="17">
        <v>8.0</v>
      </c>
      <c r="I26" s="15" t="str">
        <f t="shared" si="10"/>
        <v>VG</v>
      </c>
      <c r="J26" s="19">
        <v>3.0</v>
      </c>
      <c r="K26" s="19">
        <v>6.0</v>
      </c>
      <c r="L26" s="14">
        <f t="shared" si="11"/>
        <v>9</v>
      </c>
      <c r="M26" s="1"/>
      <c r="N26" s="59">
        <v>8.0</v>
      </c>
      <c r="O26" s="84" t="s">
        <v>42</v>
      </c>
      <c r="P26" s="12">
        <f t="shared" si="12"/>
        <v>0</v>
      </c>
      <c r="Q26" s="52">
        <f t="shared" si="13"/>
        <v>6</v>
      </c>
      <c r="R26" s="53">
        <f t="shared" si="14"/>
        <v>14</v>
      </c>
      <c r="S26" s="53">
        <f>K11+Q11+X11+E26+K26+E11</f>
        <v>20</v>
      </c>
      <c r="T26" s="54">
        <f t="shared" si="16"/>
        <v>34</v>
      </c>
      <c r="U26" s="47"/>
      <c r="V26" s="85">
        <v>8.0</v>
      </c>
      <c r="W26" s="86" t="s">
        <v>43</v>
      </c>
      <c r="X26" s="87">
        <v>0.0</v>
      </c>
      <c r="Y26" s="87">
        <v>6.0</v>
      </c>
      <c r="Z26" s="88">
        <v>22.0</v>
      </c>
      <c r="AA26" s="88">
        <v>26.0</v>
      </c>
      <c r="AB26" s="89">
        <v>48.0</v>
      </c>
      <c r="AC26" s="49"/>
    </row>
    <row r="27">
      <c r="A27" s="1"/>
      <c r="B27" s="17">
        <v>9.0</v>
      </c>
      <c r="C27" s="15" t="str">
        <f t="shared" si="8"/>
        <v>KRGR</v>
      </c>
      <c r="D27" s="19">
        <v>2.0</v>
      </c>
      <c r="E27" s="19">
        <v>9.0</v>
      </c>
      <c r="F27" s="50">
        <f t="shared" si="9"/>
        <v>11</v>
      </c>
      <c r="G27" s="1"/>
      <c r="H27" s="17">
        <v>9.0</v>
      </c>
      <c r="I27" s="11" t="str">
        <f t="shared" si="10"/>
        <v>KRGR</v>
      </c>
      <c r="J27" s="19">
        <v>8.0</v>
      </c>
      <c r="K27" s="19">
        <v>16.0</v>
      </c>
      <c r="L27" s="14">
        <f t="shared" si="11"/>
        <v>24</v>
      </c>
      <c r="M27" s="1"/>
      <c r="N27" s="59">
        <v>9.0</v>
      </c>
      <c r="O27" s="11" t="s">
        <v>40</v>
      </c>
      <c r="P27" s="12">
        <f t="shared" si="12"/>
        <v>0</v>
      </c>
      <c r="Q27" s="52">
        <f t="shared" si="13"/>
        <v>6</v>
      </c>
      <c r="R27" s="53">
        <f t="shared" si="14"/>
        <v>29</v>
      </c>
      <c r="S27" s="53">
        <f t="shared" ref="S27:S30" si="17">E12+K12+Q12+X12+E27+K27</f>
        <v>58</v>
      </c>
      <c r="T27" s="54">
        <f t="shared" si="16"/>
        <v>87</v>
      </c>
      <c r="U27" s="47"/>
      <c r="V27" s="90">
        <v>9.0</v>
      </c>
      <c r="W27" s="91" t="s">
        <v>44</v>
      </c>
      <c r="X27" s="92">
        <v>1.0</v>
      </c>
      <c r="Y27" s="92">
        <v>6.0</v>
      </c>
      <c r="Z27" s="93">
        <v>17.0</v>
      </c>
      <c r="AA27" s="93">
        <v>29.0</v>
      </c>
      <c r="AB27" s="94">
        <v>46.0</v>
      </c>
      <c r="AC27" s="49"/>
    </row>
    <row r="28">
      <c r="A28" s="1"/>
      <c r="B28" s="17">
        <v>10.0</v>
      </c>
      <c r="C28" s="15" t="str">
        <f t="shared" si="8"/>
        <v>XM</v>
      </c>
      <c r="D28" s="19">
        <v>6.0</v>
      </c>
      <c r="E28" s="19">
        <v>8.0</v>
      </c>
      <c r="F28" s="50">
        <f t="shared" si="9"/>
        <v>14</v>
      </c>
      <c r="G28" s="1"/>
      <c r="H28" s="17">
        <v>10.0</v>
      </c>
      <c r="I28" s="15" t="str">
        <f t="shared" si="10"/>
        <v>XM</v>
      </c>
      <c r="J28" s="19">
        <v>2.0</v>
      </c>
      <c r="K28" s="19">
        <v>7.0</v>
      </c>
      <c r="L28" s="14">
        <f t="shared" si="11"/>
        <v>9</v>
      </c>
      <c r="M28" s="1"/>
      <c r="N28" s="59">
        <v>10.0</v>
      </c>
      <c r="O28" s="11" t="s">
        <v>43</v>
      </c>
      <c r="P28" s="12">
        <f t="shared" si="12"/>
        <v>0</v>
      </c>
      <c r="Q28" s="52">
        <f t="shared" si="13"/>
        <v>6</v>
      </c>
      <c r="R28" s="53">
        <f t="shared" si="14"/>
        <v>22</v>
      </c>
      <c r="S28" s="53">
        <f t="shared" si="17"/>
        <v>26</v>
      </c>
      <c r="T28" s="54">
        <f t="shared" si="16"/>
        <v>48</v>
      </c>
      <c r="U28" s="47"/>
      <c r="V28" s="90">
        <v>10.0</v>
      </c>
      <c r="W28" s="91" t="s">
        <v>42</v>
      </c>
      <c r="X28" s="92">
        <v>0.0</v>
      </c>
      <c r="Y28" s="92">
        <v>6.0</v>
      </c>
      <c r="Z28" s="93">
        <v>14.0</v>
      </c>
      <c r="AA28" s="93">
        <v>20.0</v>
      </c>
      <c r="AB28" s="94">
        <v>34.0</v>
      </c>
      <c r="AC28" s="49"/>
    </row>
    <row r="29">
      <c r="A29" s="1"/>
      <c r="B29" s="17">
        <v>11.0</v>
      </c>
      <c r="C29" s="15" t="str">
        <f t="shared" si="8"/>
        <v>S8UL</v>
      </c>
      <c r="D29" s="19">
        <v>7.0</v>
      </c>
      <c r="E29" s="19">
        <v>20.0</v>
      </c>
      <c r="F29" s="50">
        <f t="shared" si="9"/>
        <v>27</v>
      </c>
      <c r="G29" s="1"/>
      <c r="H29" s="17">
        <v>11.0</v>
      </c>
      <c r="I29" s="15" t="str">
        <f t="shared" si="10"/>
        <v>S8UL</v>
      </c>
      <c r="J29" s="19">
        <v>12.0</v>
      </c>
      <c r="K29" s="19">
        <v>16.0</v>
      </c>
      <c r="L29" s="14">
        <f t="shared" si="11"/>
        <v>28</v>
      </c>
      <c r="M29" s="1"/>
      <c r="N29" s="59">
        <v>11.0</v>
      </c>
      <c r="O29" s="95" t="s">
        <v>35</v>
      </c>
      <c r="P29" s="12">
        <f t="shared" si="12"/>
        <v>2</v>
      </c>
      <c r="Q29" s="52">
        <f t="shared" si="13"/>
        <v>6</v>
      </c>
      <c r="R29" s="53">
        <f t="shared" si="14"/>
        <v>43</v>
      </c>
      <c r="S29" s="53">
        <f t="shared" si="17"/>
        <v>89</v>
      </c>
      <c r="T29" s="54">
        <f t="shared" si="16"/>
        <v>132</v>
      </c>
      <c r="U29" s="47"/>
      <c r="V29" s="90">
        <v>11.0</v>
      </c>
      <c r="W29" s="91" t="s">
        <v>41</v>
      </c>
      <c r="X29" s="92">
        <v>0.0</v>
      </c>
      <c r="Y29" s="92">
        <v>6.0</v>
      </c>
      <c r="Z29" s="93">
        <v>16.0</v>
      </c>
      <c r="AA29" s="93">
        <v>16.0</v>
      </c>
      <c r="AB29" s="94">
        <v>32.0</v>
      </c>
      <c r="AC29" s="49"/>
      <c r="AD29" s="16"/>
    </row>
    <row r="30">
      <c r="A30" s="1"/>
      <c r="B30" s="27">
        <v>12.0</v>
      </c>
      <c r="C30" s="96" t="str">
        <f t="shared" si="8"/>
        <v>TT</v>
      </c>
      <c r="D30" s="29">
        <v>12.0</v>
      </c>
      <c r="E30" s="29">
        <v>16.0</v>
      </c>
      <c r="F30" s="50">
        <f t="shared" si="9"/>
        <v>28</v>
      </c>
      <c r="G30" s="1"/>
      <c r="H30" s="27">
        <v>12.0</v>
      </c>
      <c r="I30" s="32" t="str">
        <f t="shared" si="10"/>
        <v>TT</v>
      </c>
      <c r="J30" s="29">
        <v>0.0</v>
      </c>
      <c r="K30" s="29">
        <v>4.0</v>
      </c>
      <c r="L30" s="14">
        <f t="shared" si="11"/>
        <v>4</v>
      </c>
      <c r="M30" s="1"/>
      <c r="N30" s="97">
        <v>12.0</v>
      </c>
      <c r="O30" s="98" t="s">
        <v>44</v>
      </c>
      <c r="P30" s="12">
        <f t="shared" si="12"/>
        <v>1</v>
      </c>
      <c r="Q30" s="52">
        <f t="shared" si="13"/>
        <v>6</v>
      </c>
      <c r="R30" s="53">
        <f t="shared" si="14"/>
        <v>17</v>
      </c>
      <c r="S30" s="53">
        <f t="shared" si="17"/>
        <v>29</v>
      </c>
      <c r="T30" s="99">
        <f t="shared" si="16"/>
        <v>46</v>
      </c>
      <c r="U30" s="47"/>
      <c r="V30" s="100">
        <v>12.0</v>
      </c>
      <c r="W30" s="101" t="s">
        <v>34</v>
      </c>
      <c r="X30" s="102">
        <v>0.0</v>
      </c>
      <c r="Y30" s="102">
        <v>6.0</v>
      </c>
      <c r="Z30" s="103">
        <v>14.0</v>
      </c>
      <c r="AA30" s="103">
        <v>11.0</v>
      </c>
      <c r="AB30" s="104">
        <v>25.0</v>
      </c>
      <c r="AC30" s="105"/>
      <c r="AD30" s="16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06"/>
      <c r="V31" s="107"/>
      <c r="W31" s="108"/>
      <c r="X31" s="108"/>
      <c r="Y31" s="108"/>
      <c r="Z31" s="108"/>
      <c r="AA31" s="108"/>
      <c r="AB31" s="108"/>
      <c r="AC31" s="105"/>
      <c r="AD31" s="1"/>
    </row>
    <row r="32">
      <c r="A32" s="1"/>
      <c r="B32" s="5"/>
      <c r="C32" s="5"/>
      <c r="D32" s="5"/>
      <c r="E32" s="5"/>
      <c r="F32" s="16"/>
      <c r="G32" s="1"/>
      <c r="H32" s="109"/>
      <c r="I32" s="109"/>
      <c r="J32" s="109"/>
      <c r="K32" s="109"/>
      <c r="L32" s="109"/>
      <c r="M32" s="1"/>
      <c r="N32" s="1"/>
      <c r="O32" s="1"/>
      <c r="P32" s="9"/>
      <c r="Q32" s="9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1"/>
      <c r="B33" s="9"/>
      <c r="C33" s="9" t="s">
        <v>45</v>
      </c>
      <c r="D33" s="9"/>
      <c r="E33" s="9"/>
      <c r="F33" s="9"/>
      <c r="G33" s="110"/>
      <c r="H33" s="9"/>
      <c r="I33" s="9"/>
      <c r="J33" s="9"/>
      <c r="K33" s="9"/>
      <c r="L33" s="9"/>
      <c r="M33" s="110"/>
      <c r="N33" s="1"/>
      <c r="O33" s="1"/>
      <c r="P33" s="9"/>
      <c r="Q33" s="9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1"/>
      <c r="B34" s="9" t="s">
        <v>0</v>
      </c>
      <c r="C34" s="9">
        <f t="shared" ref="C34:C45" si="18">IFS(D4=0,0,D4=1,12,D4=2,9,D4=3,8,D4=4,7,D4=5,6,D4=6,5,D4=7,4,D4=8,3,D4=9,2,D4=10,1,D4=11,0,D4=12,0,D4=0,0)</f>
        <v>2</v>
      </c>
      <c r="D34" s="9" t="s">
        <v>1</v>
      </c>
      <c r="E34" s="9">
        <f t="shared" ref="E34:E45" si="19">IFS(J4=0,0,J4=1,12,J4=2,9,J4=3,8,J4=4,7,J4=5,6,J4=6,5,J4=7,4,J4=8,3,J4=9,2,J4=10,1,J4=11,0,J4=12,0,J4=0,0)</f>
        <v>2</v>
      </c>
      <c r="F34" s="9" t="s">
        <v>2</v>
      </c>
      <c r="G34" s="110">
        <f t="shared" ref="G34:G45" si="20">IFS(P4=0,0,P4=1,12,P4=2,9,P4=3,8,P4=4,7,P4=5,6,P4=6,5,P4=7,4,P4=8,3,P4=9,2,P4=10,1,P4=11,0,P4=12,0,P4=0,0)</f>
        <v>2</v>
      </c>
      <c r="H34" s="9" t="s">
        <v>3</v>
      </c>
      <c r="I34" s="110">
        <f t="shared" ref="I34:I45" si="21">IFS(W4=0,0,W4=1,12,W4=2,9,W4=3,8,W4=4,7,W4=5,6,W4=6,5,W4=7,4,W4=8,3,W4=9,2,W4=10,1,W4=11,0,W4=12,0,W4=0,0)</f>
        <v>3</v>
      </c>
      <c r="J34" s="9" t="s">
        <v>23</v>
      </c>
      <c r="K34" s="110">
        <f t="shared" ref="K34:K45" si="22">IFS(D19=0,0,D19=1,12,D19=2,9,D19=3,8,D19=4,7,D19=5,6,D19=6,5,D19=7,4,D19=8,3,D19=9,2,D19=10,1,D19=11,0,D19=12,0,D19=0,0)</f>
        <v>3</v>
      </c>
      <c r="L34" s="9" t="s">
        <v>24</v>
      </c>
      <c r="M34" s="110">
        <f t="shared" ref="M34:M45" si="23">IFS(J19=0,0,J19=1,12,J19=2,9,J19=3,8,J19=4,7,J19=5,6,J19=6,5,J19=7,4,J19=8,3,J19=9,2,J19=10,1,J19=11,0,J19=12,0,J19=0,0)</f>
        <v>4</v>
      </c>
      <c r="N34" s="1"/>
      <c r="O34" s="1"/>
      <c r="P34" s="9"/>
      <c r="Q34" s="9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1"/>
      <c r="B35" s="110"/>
      <c r="C35" s="9">
        <f t="shared" si="18"/>
        <v>0</v>
      </c>
      <c r="D35" s="9"/>
      <c r="E35" s="9">
        <f t="shared" si="19"/>
        <v>0</v>
      </c>
      <c r="F35" s="110"/>
      <c r="G35" s="110">
        <f t="shared" si="20"/>
        <v>4</v>
      </c>
      <c r="H35" s="110"/>
      <c r="I35" s="110">
        <f t="shared" si="21"/>
        <v>6</v>
      </c>
      <c r="J35" s="110"/>
      <c r="K35" s="110">
        <f t="shared" si="22"/>
        <v>12</v>
      </c>
      <c r="L35" s="110"/>
      <c r="M35" s="110">
        <f t="shared" si="23"/>
        <v>12</v>
      </c>
      <c r="N35" s="1"/>
      <c r="O35" s="1"/>
      <c r="P35" s="9"/>
      <c r="Q35" s="9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1"/>
      <c r="B36" s="110"/>
      <c r="C36" s="9">
        <f t="shared" si="18"/>
        <v>3</v>
      </c>
      <c r="D36" s="9"/>
      <c r="E36" s="9">
        <f t="shared" si="19"/>
        <v>4</v>
      </c>
      <c r="F36" s="110"/>
      <c r="G36" s="110">
        <f t="shared" si="20"/>
        <v>6</v>
      </c>
      <c r="H36" s="110"/>
      <c r="I36" s="110">
        <f t="shared" si="21"/>
        <v>5</v>
      </c>
      <c r="J36" s="110"/>
      <c r="K36" s="110">
        <f t="shared" si="22"/>
        <v>6</v>
      </c>
      <c r="L36" s="110"/>
      <c r="M36" s="110">
        <f t="shared" si="23"/>
        <v>6</v>
      </c>
      <c r="N36" s="1"/>
      <c r="O36" s="1"/>
      <c r="P36" s="9"/>
      <c r="Q36" s="9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1"/>
      <c r="B37" s="110"/>
      <c r="C37" s="9">
        <f t="shared" si="18"/>
        <v>9</v>
      </c>
      <c r="D37" s="9"/>
      <c r="E37" s="9">
        <f t="shared" si="19"/>
        <v>0</v>
      </c>
      <c r="F37" s="110"/>
      <c r="G37" s="110">
        <f t="shared" si="20"/>
        <v>7</v>
      </c>
      <c r="H37" s="110"/>
      <c r="I37" s="110">
        <f t="shared" si="21"/>
        <v>0</v>
      </c>
      <c r="J37" s="110"/>
      <c r="K37" s="110">
        <f t="shared" si="22"/>
        <v>0</v>
      </c>
      <c r="L37" s="110"/>
      <c r="M37" s="110">
        <f t="shared" si="23"/>
        <v>5</v>
      </c>
      <c r="N37" s="1"/>
      <c r="O37" s="1"/>
      <c r="P37" s="9"/>
      <c r="Q37" s="9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1"/>
      <c r="B38" s="110"/>
      <c r="C38" s="9">
        <f t="shared" si="18"/>
        <v>5</v>
      </c>
      <c r="D38" s="9"/>
      <c r="E38" s="9">
        <f t="shared" si="19"/>
        <v>3</v>
      </c>
      <c r="F38" s="110"/>
      <c r="G38" s="110">
        <f t="shared" si="20"/>
        <v>0</v>
      </c>
      <c r="H38" s="110"/>
      <c r="I38" s="110">
        <f t="shared" si="21"/>
        <v>9</v>
      </c>
      <c r="J38" s="110"/>
      <c r="K38" s="110">
        <f t="shared" si="22"/>
        <v>7</v>
      </c>
      <c r="L38" s="110"/>
      <c r="M38" s="110">
        <f t="shared" si="23"/>
        <v>0</v>
      </c>
      <c r="N38" s="1"/>
      <c r="O38" s="1"/>
      <c r="P38" s="9"/>
      <c r="Q38" s="9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1"/>
      <c r="B39" s="110"/>
      <c r="C39" s="9">
        <f t="shared" si="18"/>
        <v>4</v>
      </c>
      <c r="D39" s="9"/>
      <c r="E39" s="9">
        <f t="shared" si="19"/>
        <v>7</v>
      </c>
      <c r="F39" s="110"/>
      <c r="G39" s="110">
        <f t="shared" si="20"/>
        <v>8</v>
      </c>
      <c r="H39" s="110"/>
      <c r="I39" s="110">
        <f t="shared" si="21"/>
        <v>12</v>
      </c>
      <c r="J39" s="110"/>
      <c r="K39" s="110">
        <f t="shared" si="22"/>
        <v>2</v>
      </c>
      <c r="L39" s="110"/>
      <c r="M39" s="110">
        <f t="shared" si="23"/>
        <v>2</v>
      </c>
      <c r="N39" s="1"/>
      <c r="O39" s="1"/>
      <c r="P39" s="9"/>
      <c r="Q39" s="9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1"/>
      <c r="B40" s="110"/>
      <c r="C40" s="9">
        <f t="shared" si="18"/>
        <v>12</v>
      </c>
      <c r="D40" s="9"/>
      <c r="E40" s="9">
        <f t="shared" si="19"/>
        <v>0</v>
      </c>
      <c r="F40" s="110"/>
      <c r="G40" s="110">
        <f t="shared" si="20"/>
        <v>3</v>
      </c>
      <c r="H40" s="110"/>
      <c r="I40" s="110">
        <f t="shared" si="21"/>
        <v>8</v>
      </c>
      <c r="J40" s="110"/>
      <c r="K40" s="110">
        <f t="shared" si="22"/>
        <v>0</v>
      </c>
      <c r="L40" s="110"/>
      <c r="M40" s="110">
        <f t="shared" si="23"/>
        <v>7</v>
      </c>
      <c r="N40" s="1"/>
      <c r="O40" s="1"/>
      <c r="P40" s="9"/>
      <c r="Q40" s="9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1"/>
      <c r="B41" s="110"/>
      <c r="C41" s="9">
        <f t="shared" si="18"/>
        <v>7</v>
      </c>
      <c r="D41" s="9"/>
      <c r="E41" s="9">
        <f t="shared" si="19"/>
        <v>8</v>
      </c>
      <c r="F41" s="110"/>
      <c r="G41" s="110">
        <f t="shared" si="20"/>
        <v>12</v>
      </c>
      <c r="H41" s="110"/>
      <c r="I41" s="110">
        <f t="shared" si="21"/>
        <v>0</v>
      </c>
      <c r="J41" s="110"/>
      <c r="K41" s="110">
        <f t="shared" si="22"/>
        <v>8</v>
      </c>
      <c r="L41" s="110"/>
      <c r="M41" s="110">
        <f t="shared" si="23"/>
        <v>8</v>
      </c>
      <c r="N41" s="1"/>
      <c r="O41" s="1"/>
      <c r="P41" s="9"/>
      <c r="Q41" s="9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1"/>
      <c r="B42" s="110"/>
      <c r="C42" s="9">
        <f t="shared" si="18"/>
        <v>6</v>
      </c>
      <c r="D42" s="9"/>
      <c r="E42" s="9">
        <f t="shared" si="19"/>
        <v>6</v>
      </c>
      <c r="F42" s="110"/>
      <c r="G42" s="110">
        <f t="shared" si="20"/>
        <v>0</v>
      </c>
      <c r="H42" s="110"/>
      <c r="I42" s="110">
        <f t="shared" si="21"/>
        <v>2</v>
      </c>
      <c r="J42" s="110"/>
      <c r="K42" s="110">
        <f t="shared" si="22"/>
        <v>9</v>
      </c>
      <c r="L42" s="110"/>
      <c r="M42" s="110">
        <f t="shared" si="23"/>
        <v>3</v>
      </c>
      <c r="N42" s="1"/>
      <c r="O42" s="1"/>
      <c r="P42" s="9"/>
      <c r="Q42" s="9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1"/>
      <c r="B43" s="110"/>
      <c r="C43" s="9">
        <f t="shared" si="18"/>
        <v>0</v>
      </c>
      <c r="D43" s="9"/>
      <c r="E43" s="9">
        <f t="shared" si="19"/>
        <v>12</v>
      </c>
      <c r="F43" s="110"/>
      <c r="G43" s="110">
        <f t="shared" si="20"/>
        <v>5</v>
      </c>
      <c r="H43" s="110"/>
      <c r="I43" s="110">
        <f t="shared" si="21"/>
        <v>4</v>
      </c>
      <c r="J43" s="110"/>
      <c r="K43" s="110">
        <f t="shared" si="22"/>
        <v>5</v>
      </c>
      <c r="L43" s="110"/>
      <c r="M43" s="110">
        <f t="shared" si="23"/>
        <v>9</v>
      </c>
      <c r="N43" s="1"/>
      <c r="O43" s="1"/>
      <c r="P43" s="9"/>
      <c r="Q43" s="9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1"/>
      <c r="B44" s="110"/>
      <c r="C44" s="110">
        <f t="shared" si="18"/>
        <v>0</v>
      </c>
      <c r="D44" s="110"/>
      <c r="E44" s="110">
        <f t="shared" si="19"/>
        <v>5</v>
      </c>
      <c r="F44" s="110"/>
      <c r="G44" s="110">
        <f t="shared" si="20"/>
        <v>9</v>
      </c>
      <c r="H44" s="110"/>
      <c r="I44" s="110">
        <f t="shared" si="21"/>
        <v>7</v>
      </c>
      <c r="J44" s="110"/>
      <c r="K44" s="110">
        <f t="shared" si="22"/>
        <v>4</v>
      </c>
      <c r="L44" s="110"/>
      <c r="M44" s="110">
        <f t="shared" si="2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23">
        <v>12.0</v>
      </c>
      <c r="Y44" s="1"/>
      <c r="Z44" s="1"/>
      <c r="AA44" s="1"/>
      <c r="AB44" s="1"/>
      <c r="AC44" s="1"/>
      <c r="AD44" s="1"/>
    </row>
    <row r="45">
      <c r="A45" s="1"/>
      <c r="B45" s="110"/>
      <c r="C45" s="110">
        <f t="shared" si="18"/>
        <v>8</v>
      </c>
      <c r="D45" s="110"/>
      <c r="E45" s="110">
        <f t="shared" si="19"/>
        <v>9</v>
      </c>
      <c r="F45" s="110"/>
      <c r="G45" s="110">
        <f t="shared" si="20"/>
        <v>0</v>
      </c>
      <c r="H45" s="110"/>
      <c r="I45" s="110">
        <f t="shared" si="21"/>
        <v>0</v>
      </c>
      <c r="J45" s="110"/>
      <c r="K45" s="110">
        <f t="shared" si="22"/>
        <v>0</v>
      </c>
      <c r="L45" s="110"/>
      <c r="M45" s="110">
        <f t="shared" si="2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23">
        <v>19.0</v>
      </c>
      <c r="Y45" s="1"/>
      <c r="Z45" s="1"/>
      <c r="AA45" s="1"/>
      <c r="AB45" s="1"/>
      <c r="AC45" s="1"/>
      <c r="AD45" s="1"/>
    </row>
    <row r="46">
      <c r="A46" s="1"/>
      <c r="B46" s="9" t="s">
        <v>28</v>
      </c>
      <c r="C46" s="110">
        <f t="shared" ref="C46:C57" si="24">COUNTIF(D4,"=12")</f>
        <v>0</v>
      </c>
      <c r="D46" s="110"/>
      <c r="E46" s="110">
        <f t="shared" ref="E46:E57" si="25">COUNTIF(J4,"=12")</f>
        <v>0</v>
      </c>
      <c r="F46" s="110"/>
      <c r="G46" s="110">
        <f t="shared" ref="G46:G58" si="26">COUNTIF(P4,"=12")</f>
        <v>0</v>
      </c>
      <c r="H46" s="110"/>
      <c r="I46" s="110">
        <f t="shared" ref="I46:I57" si="27">COUNTIF(W4,"=12")</f>
        <v>0</v>
      </c>
      <c r="J46" s="110"/>
      <c r="K46" s="110">
        <f t="shared" ref="K46:K57" si="28">COUNTIF(D19,"=12")</f>
        <v>0</v>
      </c>
      <c r="L46" s="110"/>
      <c r="M46" s="110">
        <f t="shared" ref="M46:M57" si="29">COUNTIF(J19,"=12")</f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23">
        <v>15.0</v>
      </c>
      <c r="Y46" s="1"/>
      <c r="Z46" s="1"/>
      <c r="AA46" s="1"/>
      <c r="AB46" s="1"/>
      <c r="AC46" s="1"/>
      <c r="AD46" s="1"/>
    </row>
    <row r="47">
      <c r="A47" s="1"/>
      <c r="B47" s="110"/>
      <c r="C47" s="110">
        <f t="shared" si="24"/>
        <v>0</v>
      </c>
      <c r="D47" s="110"/>
      <c r="E47" s="110">
        <f t="shared" si="25"/>
        <v>0</v>
      </c>
      <c r="F47" s="110"/>
      <c r="G47" s="110">
        <f t="shared" si="26"/>
        <v>0</v>
      </c>
      <c r="H47" s="110"/>
      <c r="I47" s="110">
        <f t="shared" si="27"/>
        <v>0</v>
      </c>
      <c r="J47" s="110"/>
      <c r="K47" s="110">
        <f t="shared" si="28"/>
        <v>0</v>
      </c>
      <c r="L47" s="110"/>
      <c r="M47" s="110">
        <f t="shared" si="29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23">
        <v>10.0</v>
      </c>
      <c r="Y47" s="1"/>
      <c r="Z47" s="1"/>
      <c r="AA47" s="1"/>
      <c r="AB47" s="1"/>
      <c r="AC47" s="1"/>
      <c r="AD47" s="1"/>
    </row>
    <row r="48">
      <c r="A48" s="1"/>
      <c r="B48" s="110"/>
      <c r="C48" s="110">
        <f t="shared" si="24"/>
        <v>0</v>
      </c>
      <c r="D48" s="110"/>
      <c r="E48" s="110">
        <f t="shared" si="25"/>
        <v>0</v>
      </c>
      <c r="F48" s="110"/>
      <c r="G48" s="110">
        <f t="shared" si="26"/>
        <v>0</v>
      </c>
      <c r="H48" s="110"/>
      <c r="I48" s="110">
        <f t="shared" si="27"/>
        <v>0</v>
      </c>
      <c r="J48" s="110"/>
      <c r="K48" s="110">
        <f t="shared" si="28"/>
        <v>0</v>
      </c>
      <c r="L48" s="110"/>
      <c r="M48" s="110">
        <f t="shared" si="29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23">
        <v>12.0</v>
      </c>
      <c r="Y48" s="1"/>
      <c r="Z48" s="1"/>
      <c r="AA48" s="1"/>
      <c r="AB48" s="1"/>
      <c r="AC48" s="1"/>
      <c r="AD48" s="1"/>
    </row>
    <row r="49">
      <c r="A49" s="1"/>
      <c r="B49" s="110"/>
      <c r="C49" s="110">
        <f t="shared" si="24"/>
        <v>0</v>
      </c>
      <c r="D49" s="110"/>
      <c r="E49" s="110">
        <f t="shared" si="25"/>
        <v>1</v>
      </c>
      <c r="F49" s="110"/>
      <c r="G49" s="110">
        <f t="shared" si="26"/>
        <v>0</v>
      </c>
      <c r="H49" s="110"/>
      <c r="I49" s="110">
        <f t="shared" si="27"/>
        <v>1</v>
      </c>
      <c r="J49" s="110"/>
      <c r="K49" s="110">
        <f t="shared" si="28"/>
        <v>0</v>
      </c>
      <c r="L49" s="110"/>
      <c r="M49" s="110">
        <f t="shared" si="29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23">
        <v>23.0</v>
      </c>
      <c r="Y49" s="1"/>
      <c r="Z49" s="1"/>
      <c r="AA49" s="1"/>
      <c r="AB49" s="1"/>
      <c r="AC49" s="1"/>
      <c r="AD49" s="1"/>
    </row>
    <row r="50">
      <c r="A50" s="1"/>
      <c r="B50" s="110"/>
      <c r="C50" s="110">
        <f t="shared" si="24"/>
        <v>0</v>
      </c>
      <c r="D50" s="110"/>
      <c r="E50" s="110">
        <f t="shared" si="25"/>
        <v>0</v>
      </c>
      <c r="F50" s="110"/>
      <c r="G50" s="110">
        <f t="shared" si="26"/>
        <v>1</v>
      </c>
      <c r="H50" s="110"/>
      <c r="I50" s="110">
        <f t="shared" si="27"/>
        <v>0</v>
      </c>
      <c r="J50" s="110"/>
      <c r="K50" s="110">
        <f t="shared" si="28"/>
        <v>0</v>
      </c>
      <c r="L50" s="110"/>
      <c r="M50" s="110">
        <f t="shared" si="29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1"/>
      <c r="B51" s="110"/>
      <c r="C51" s="110">
        <f t="shared" si="24"/>
        <v>0</v>
      </c>
      <c r="D51" s="110"/>
      <c r="E51" s="110">
        <f t="shared" si="25"/>
        <v>0</v>
      </c>
      <c r="F51" s="110"/>
      <c r="G51" s="110">
        <f t="shared" si="26"/>
        <v>0</v>
      </c>
      <c r="H51" s="110"/>
      <c r="I51" s="110">
        <f t="shared" si="27"/>
        <v>0</v>
      </c>
      <c r="J51" s="110"/>
      <c r="K51" s="110">
        <f t="shared" si="28"/>
        <v>0</v>
      </c>
      <c r="L51" s="110"/>
      <c r="M51" s="110">
        <f t="shared" si="29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110"/>
      <c r="C52" s="110">
        <f t="shared" si="24"/>
        <v>0</v>
      </c>
      <c r="D52" s="110"/>
      <c r="E52" s="110">
        <f t="shared" si="25"/>
        <v>0</v>
      </c>
      <c r="F52" s="110"/>
      <c r="G52" s="110">
        <f t="shared" si="26"/>
        <v>0</v>
      </c>
      <c r="H52" s="110"/>
      <c r="I52" s="110">
        <f t="shared" si="27"/>
        <v>0</v>
      </c>
      <c r="J52" s="110"/>
      <c r="K52" s="110">
        <f t="shared" si="28"/>
        <v>0</v>
      </c>
      <c r="L52" s="110"/>
      <c r="M52" s="110">
        <f t="shared" si="29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110"/>
      <c r="C53" s="110">
        <f t="shared" si="24"/>
        <v>0</v>
      </c>
      <c r="D53" s="110"/>
      <c r="E53" s="110">
        <f t="shared" si="25"/>
        <v>0</v>
      </c>
      <c r="F53" s="110"/>
      <c r="G53" s="110">
        <f t="shared" si="26"/>
        <v>0</v>
      </c>
      <c r="H53" s="110"/>
      <c r="I53" s="110">
        <f t="shared" si="27"/>
        <v>0</v>
      </c>
      <c r="J53" s="110"/>
      <c r="K53" s="110">
        <f t="shared" si="28"/>
        <v>0</v>
      </c>
      <c r="L53" s="110"/>
      <c r="M53" s="110">
        <f t="shared" si="29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/>
      <c r="B54" s="110"/>
      <c r="C54" s="110">
        <f t="shared" si="24"/>
        <v>0</v>
      </c>
      <c r="D54" s="110"/>
      <c r="E54" s="110">
        <f t="shared" si="25"/>
        <v>0</v>
      </c>
      <c r="F54" s="110"/>
      <c r="G54" s="110">
        <f t="shared" si="26"/>
        <v>0</v>
      </c>
      <c r="H54" s="110"/>
      <c r="I54" s="110">
        <f t="shared" si="27"/>
        <v>0</v>
      </c>
      <c r="J54" s="110"/>
      <c r="K54" s="110">
        <f t="shared" si="28"/>
        <v>0</v>
      </c>
      <c r="L54" s="110"/>
      <c r="M54" s="110">
        <f t="shared" si="29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"/>
      <c r="B55" s="110"/>
      <c r="C55" s="110">
        <f t="shared" si="24"/>
        <v>0</v>
      </c>
      <c r="D55" s="110"/>
      <c r="E55" s="110">
        <f t="shared" si="25"/>
        <v>0</v>
      </c>
      <c r="F55" s="110"/>
      <c r="G55" s="110">
        <f t="shared" si="26"/>
        <v>0</v>
      </c>
      <c r="H55" s="110"/>
      <c r="I55" s="110">
        <f t="shared" si="27"/>
        <v>0</v>
      </c>
      <c r="J55" s="110"/>
      <c r="K55" s="110">
        <f t="shared" si="28"/>
        <v>0</v>
      </c>
      <c r="L55" s="110"/>
      <c r="M55" s="110">
        <f t="shared" si="29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/>
      <c r="B56" s="110"/>
      <c r="C56" s="110">
        <f t="shared" si="24"/>
        <v>1</v>
      </c>
      <c r="D56" s="110"/>
      <c r="E56" s="110">
        <f t="shared" si="25"/>
        <v>0</v>
      </c>
      <c r="F56" s="110"/>
      <c r="G56" s="110">
        <f t="shared" si="26"/>
        <v>0</v>
      </c>
      <c r="H56" s="110"/>
      <c r="I56" s="110">
        <f t="shared" si="27"/>
        <v>0</v>
      </c>
      <c r="J56" s="110"/>
      <c r="K56" s="110">
        <f t="shared" si="28"/>
        <v>0</v>
      </c>
      <c r="L56" s="110"/>
      <c r="M56" s="110">
        <f t="shared" si="29"/>
        <v>1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110"/>
      <c r="C57" s="110">
        <f t="shared" si="24"/>
        <v>0</v>
      </c>
      <c r="D57" s="110"/>
      <c r="E57" s="110">
        <f t="shared" si="25"/>
        <v>0</v>
      </c>
      <c r="F57" s="110"/>
      <c r="G57" s="110">
        <f t="shared" si="26"/>
        <v>0</v>
      </c>
      <c r="H57" s="110"/>
      <c r="I57" s="110">
        <f t="shared" si="27"/>
        <v>0</v>
      </c>
      <c r="J57" s="110"/>
      <c r="K57" s="110">
        <f t="shared" si="28"/>
        <v>1</v>
      </c>
      <c r="L57" s="110"/>
      <c r="M57" s="110">
        <f t="shared" si="29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/>
      <c r="B58" s="1"/>
      <c r="C58" s="1"/>
      <c r="D58" s="1"/>
      <c r="E58" s="1"/>
      <c r="F58" s="1"/>
      <c r="G58" s="1">
        <f t="shared" si="26"/>
        <v>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</sheetData>
  <mergeCells count="12">
    <mergeCell ref="N17:T17"/>
    <mergeCell ref="U17:U31"/>
    <mergeCell ref="AC17:AC30"/>
    <mergeCell ref="V31:AC31"/>
    <mergeCell ref="B2:F2"/>
    <mergeCell ref="H2:L2"/>
    <mergeCell ref="N2:R2"/>
    <mergeCell ref="U2:Y2"/>
    <mergeCell ref="U16:AC16"/>
    <mergeCell ref="B17:F17"/>
    <mergeCell ref="H17:L17"/>
    <mergeCell ref="V17:AB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6" width="21.25"/>
    <col customWidth="1" min="17" max="17" width="9.63"/>
    <col customWidth="1" min="18" max="18" width="15.88"/>
  </cols>
  <sheetData>
    <row r="7">
      <c r="B7" s="111"/>
      <c r="C7" s="112"/>
      <c r="D7" s="112"/>
      <c r="E7" s="112"/>
      <c r="F7" s="112"/>
      <c r="G7" s="112"/>
      <c r="H7" s="112"/>
      <c r="I7" s="112"/>
      <c r="J7" s="112"/>
      <c r="K7" s="112"/>
      <c r="L7" s="111"/>
      <c r="M7" s="111"/>
      <c r="N7" s="111"/>
    </row>
    <row r="8">
      <c r="B8" s="113">
        <v>1.0</v>
      </c>
      <c r="C8" s="114" t="s">
        <v>46</v>
      </c>
      <c r="D8" s="115"/>
      <c r="E8" s="115"/>
      <c r="F8" s="115"/>
      <c r="G8" s="115"/>
      <c r="H8" s="115"/>
      <c r="I8" s="115"/>
      <c r="J8" s="115"/>
      <c r="K8" s="116"/>
      <c r="L8" s="111"/>
      <c r="M8" s="111"/>
      <c r="N8" s="111"/>
      <c r="O8" s="117"/>
      <c r="P8" s="117"/>
      <c r="Q8" s="117"/>
      <c r="R8" s="117"/>
    </row>
    <row r="9">
      <c r="B9" s="118"/>
      <c r="C9" s="119" t="s">
        <v>4</v>
      </c>
      <c r="D9" s="119" t="s">
        <v>47</v>
      </c>
      <c r="E9" s="119" t="s">
        <v>48</v>
      </c>
      <c r="F9" s="119" t="s">
        <v>49</v>
      </c>
      <c r="G9" s="119" t="s">
        <v>50</v>
      </c>
      <c r="H9" s="119" t="s">
        <v>51</v>
      </c>
      <c r="I9" s="119" t="s">
        <v>52</v>
      </c>
      <c r="J9" s="119" t="s">
        <v>53</v>
      </c>
      <c r="K9" s="119" t="s">
        <v>54</v>
      </c>
      <c r="L9" s="111" t="s">
        <v>55</v>
      </c>
      <c r="M9" s="111" t="s">
        <v>56</v>
      </c>
      <c r="N9" s="111"/>
      <c r="O9" s="117"/>
      <c r="P9" s="117"/>
      <c r="Q9" s="117"/>
      <c r="R9" s="117"/>
    </row>
    <row r="10">
      <c r="B10" s="118"/>
      <c r="C10" s="119">
        <v>1.0</v>
      </c>
      <c r="D10" s="120" t="s">
        <v>57</v>
      </c>
      <c r="E10" s="121">
        <v>3.0</v>
      </c>
      <c r="F10" s="121">
        <v>2.0</v>
      </c>
      <c r="G10" s="121">
        <v>9.0</v>
      </c>
      <c r="H10" s="121">
        <v>6.0</v>
      </c>
      <c r="I10" s="121">
        <v>2.0</v>
      </c>
      <c r="J10" s="121">
        <v>2.0</v>
      </c>
      <c r="K10" s="119">
        <f t="shared" ref="K10:K13" si="1">SUM(E10,F10,G10,H10,I10,J10)</f>
        <v>24</v>
      </c>
      <c r="L10" s="122">
        <f>SUM( K10,K11,K12,K13)</f>
        <v>90</v>
      </c>
      <c r="M10" s="123">
        <f>IFERROR(K10/L10,"0%")</f>
        <v>0.2666666667</v>
      </c>
      <c r="N10" s="111"/>
      <c r="O10" s="124" t="s">
        <v>58</v>
      </c>
      <c r="P10" s="124" t="s">
        <v>27</v>
      </c>
      <c r="Q10" s="124" t="s">
        <v>59</v>
      </c>
      <c r="R10" s="124" t="s">
        <v>60</v>
      </c>
    </row>
    <row r="11">
      <c r="B11" s="118"/>
      <c r="C11" s="119">
        <v>2.0</v>
      </c>
      <c r="D11" s="120" t="s">
        <v>61</v>
      </c>
      <c r="E11" s="121">
        <v>2.0</v>
      </c>
      <c r="F11" s="121">
        <v>2.0</v>
      </c>
      <c r="G11" s="121">
        <v>7.0</v>
      </c>
      <c r="H11" s="121">
        <v>4.0</v>
      </c>
      <c r="I11" s="121">
        <v>5.0</v>
      </c>
      <c r="J11" s="121">
        <v>3.0</v>
      </c>
      <c r="K11" s="119">
        <f t="shared" si="1"/>
        <v>23</v>
      </c>
      <c r="L11" s="111"/>
      <c r="M11" s="125">
        <f>IFERROR(K11/L10,"0%")</f>
        <v>0.2555555556</v>
      </c>
      <c r="N11" s="111"/>
      <c r="O11" s="124">
        <v>1.0</v>
      </c>
      <c r="P11" s="126" t="s">
        <v>62</v>
      </c>
      <c r="Q11" s="124">
        <v>27.0</v>
      </c>
      <c r="R11" s="127">
        <v>0.3</v>
      </c>
    </row>
    <row r="12">
      <c r="B12" s="118"/>
      <c r="C12" s="119">
        <v>3.0</v>
      </c>
      <c r="D12" s="120" t="s">
        <v>63</v>
      </c>
      <c r="E12" s="121">
        <v>4.0</v>
      </c>
      <c r="F12" s="121">
        <v>0.0</v>
      </c>
      <c r="G12" s="121">
        <v>3.0</v>
      </c>
      <c r="H12" s="121">
        <v>4.0</v>
      </c>
      <c r="I12" s="121">
        <v>2.0</v>
      </c>
      <c r="J12" s="121">
        <v>3.0</v>
      </c>
      <c r="K12" s="119">
        <f t="shared" si="1"/>
        <v>16</v>
      </c>
      <c r="L12" s="111"/>
      <c r="M12" s="125">
        <f>IFERROR(K12/L10,"0%")</f>
        <v>0.1777777778</v>
      </c>
      <c r="N12" s="111"/>
      <c r="O12" s="124">
        <v>2.0</v>
      </c>
      <c r="P12" s="126" t="s">
        <v>64</v>
      </c>
      <c r="Q12" s="124">
        <v>26.0</v>
      </c>
      <c r="R12" s="128">
        <v>0.2921</v>
      </c>
    </row>
    <row r="13">
      <c r="B13" s="118"/>
      <c r="C13" s="119">
        <v>4.0</v>
      </c>
      <c r="D13" s="120" t="s">
        <v>62</v>
      </c>
      <c r="E13" s="121">
        <v>3.0</v>
      </c>
      <c r="F13" s="121">
        <v>6.0</v>
      </c>
      <c r="G13" s="121">
        <v>5.0</v>
      </c>
      <c r="H13" s="121">
        <v>8.0</v>
      </c>
      <c r="I13" s="121">
        <v>4.0</v>
      </c>
      <c r="J13" s="121">
        <v>1.0</v>
      </c>
      <c r="K13" s="119">
        <f t="shared" si="1"/>
        <v>27</v>
      </c>
      <c r="L13" s="111"/>
      <c r="M13" s="123">
        <f>IFERROR(K13/L10,"0%")</f>
        <v>0.3</v>
      </c>
      <c r="N13" s="111"/>
      <c r="O13" s="124">
        <v>3.0</v>
      </c>
      <c r="P13" s="126" t="s">
        <v>65</v>
      </c>
      <c r="Q13" s="124">
        <v>26.0</v>
      </c>
      <c r="R13" s="128">
        <v>0.2921</v>
      </c>
    </row>
    <row r="14">
      <c r="B14" s="111"/>
      <c r="C14" s="111"/>
      <c r="D14" s="111"/>
      <c r="E14" s="111"/>
      <c r="F14" s="111"/>
      <c r="G14" s="111"/>
      <c r="H14" s="111"/>
      <c r="I14" s="111"/>
      <c r="J14" s="111"/>
      <c r="K14" s="118"/>
      <c r="L14" s="111"/>
      <c r="M14" s="129"/>
      <c r="N14" s="111"/>
      <c r="O14" s="124">
        <v>4.0</v>
      </c>
      <c r="P14" s="126" t="s">
        <v>66</v>
      </c>
      <c r="Q14" s="124">
        <v>26.0</v>
      </c>
      <c r="R14" s="128">
        <v>0.4483</v>
      </c>
    </row>
    <row r="15">
      <c r="B15" s="111"/>
      <c r="C15" s="111"/>
      <c r="D15" s="111"/>
      <c r="E15" s="111"/>
      <c r="F15" s="111"/>
      <c r="G15" s="111"/>
      <c r="H15" s="111"/>
      <c r="I15" s="111"/>
      <c r="J15" s="111"/>
      <c r="K15" s="118"/>
      <c r="L15" s="111"/>
      <c r="M15" s="129"/>
      <c r="N15" s="111"/>
      <c r="O15" s="117"/>
      <c r="P15" s="117"/>
      <c r="Q15" s="117"/>
      <c r="R15" s="117"/>
    </row>
    <row r="16">
      <c r="B16" s="111"/>
      <c r="C16" s="112"/>
      <c r="D16" s="112"/>
      <c r="E16" s="112"/>
      <c r="F16" s="112"/>
      <c r="G16" s="112"/>
      <c r="H16" s="112"/>
      <c r="I16" s="112"/>
      <c r="J16" s="112"/>
      <c r="K16" s="120"/>
      <c r="L16" s="111"/>
      <c r="M16" s="130"/>
      <c r="N16" s="111"/>
    </row>
    <row r="17">
      <c r="B17" s="122">
        <v>2.0</v>
      </c>
      <c r="C17" s="114" t="s">
        <v>67</v>
      </c>
      <c r="D17" s="115"/>
      <c r="E17" s="115"/>
      <c r="F17" s="115"/>
      <c r="G17" s="115"/>
      <c r="H17" s="115"/>
      <c r="I17" s="115"/>
      <c r="J17" s="115"/>
      <c r="K17" s="116"/>
      <c r="L17" s="111"/>
      <c r="M17" s="130"/>
      <c r="N17" s="111"/>
    </row>
    <row r="18">
      <c r="B18" s="111"/>
      <c r="C18" s="119" t="s">
        <v>4</v>
      </c>
      <c r="D18" s="119" t="s">
        <v>47</v>
      </c>
      <c r="E18" s="119" t="s">
        <v>48</v>
      </c>
      <c r="F18" s="119" t="s">
        <v>49</v>
      </c>
      <c r="G18" s="119" t="s">
        <v>50</v>
      </c>
      <c r="H18" s="119" t="s">
        <v>51</v>
      </c>
      <c r="I18" s="119" t="s">
        <v>52</v>
      </c>
      <c r="J18" s="119" t="s">
        <v>53</v>
      </c>
      <c r="K18" s="119" t="s">
        <v>54</v>
      </c>
      <c r="L18" s="111" t="s">
        <v>55</v>
      </c>
      <c r="M18" s="111" t="s">
        <v>56</v>
      </c>
      <c r="N18" s="111"/>
    </row>
    <row r="19">
      <c r="B19" s="111"/>
      <c r="C19" s="119">
        <v>1.0</v>
      </c>
      <c r="D19" s="120" t="s">
        <v>68</v>
      </c>
      <c r="E19" s="121">
        <v>3.0</v>
      </c>
      <c r="F19" s="121">
        <v>1.0</v>
      </c>
      <c r="G19" s="121">
        <v>2.0</v>
      </c>
      <c r="H19" s="121">
        <v>3.0</v>
      </c>
      <c r="I19" s="121">
        <v>5.0</v>
      </c>
      <c r="J19" s="121">
        <v>3.0</v>
      </c>
      <c r="K19" s="119">
        <f t="shared" ref="K19:K22" si="2">SUM(E19,F19,G19,H19,I19,J19)</f>
        <v>17</v>
      </c>
      <c r="L19" s="122">
        <f>SUM( K19,K20,K21,K22)</f>
        <v>89</v>
      </c>
      <c r="M19" s="123">
        <f>IFERROR(K19/L19,"0%")</f>
        <v>0.191011236</v>
      </c>
      <c r="N19" s="111"/>
    </row>
    <row r="20">
      <c r="B20" s="111"/>
      <c r="C20" s="119">
        <v>2.0</v>
      </c>
      <c r="D20" s="120" t="s">
        <v>65</v>
      </c>
      <c r="E20" s="121">
        <v>4.0</v>
      </c>
      <c r="F20" s="121">
        <v>6.0</v>
      </c>
      <c r="G20" s="121">
        <v>2.0</v>
      </c>
      <c r="H20" s="121">
        <v>4.0</v>
      </c>
      <c r="I20" s="121">
        <v>5.0</v>
      </c>
      <c r="J20" s="121">
        <v>5.0</v>
      </c>
      <c r="K20" s="119">
        <f t="shared" si="2"/>
        <v>26</v>
      </c>
      <c r="L20" s="111"/>
      <c r="M20" s="125">
        <f>IFERROR(K20/L19,"0%")</f>
        <v>0.2921348315</v>
      </c>
      <c r="N20" s="111"/>
    </row>
    <row r="21">
      <c r="B21" s="111"/>
      <c r="C21" s="119">
        <v>3.0</v>
      </c>
      <c r="D21" s="120" t="s">
        <v>64</v>
      </c>
      <c r="E21" s="121">
        <v>8.0</v>
      </c>
      <c r="F21" s="121">
        <v>1.0</v>
      </c>
      <c r="G21" s="121">
        <v>3.0</v>
      </c>
      <c r="H21" s="121">
        <v>4.0</v>
      </c>
      <c r="I21" s="121">
        <v>6.0</v>
      </c>
      <c r="J21" s="121">
        <v>4.0</v>
      </c>
      <c r="K21" s="119">
        <f t="shared" si="2"/>
        <v>26</v>
      </c>
      <c r="L21" s="111"/>
      <c r="M21" s="125">
        <f>IFERROR(K21/L19,"0%")</f>
        <v>0.2921348315</v>
      </c>
      <c r="N21" s="111"/>
    </row>
    <row r="22">
      <c r="B22" s="111"/>
      <c r="C22" s="119">
        <v>4.0</v>
      </c>
      <c r="D22" s="120" t="s">
        <v>69</v>
      </c>
      <c r="E22" s="121">
        <v>5.0</v>
      </c>
      <c r="F22" s="121">
        <v>3.0</v>
      </c>
      <c r="G22" s="121">
        <v>3.0</v>
      </c>
      <c r="H22" s="121">
        <v>1.0</v>
      </c>
      <c r="I22" s="121">
        <v>4.0</v>
      </c>
      <c r="J22" s="121">
        <v>4.0</v>
      </c>
      <c r="K22" s="119">
        <f t="shared" si="2"/>
        <v>20</v>
      </c>
      <c r="L22" s="111"/>
      <c r="M22" s="123">
        <f>IFERROR(K22/L19,"0%")</f>
        <v>0.2247191011</v>
      </c>
      <c r="N22" s="111"/>
    </row>
    <row r="23"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</row>
    <row r="24">
      <c r="B24" s="111"/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</row>
    <row r="25">
      <c r="B25" s="111"/>
      <c r="C25" s="112"/>
      <c r="D25" s="112"/>
      <c r="E25" s="112"/>
      <c r="F25" s="112"/>
      <c r="G25" s="112"/>
      <c r="H25" s="112"/>
      <c r="I25" s="112"/>
      <c r="J25" s="112"/>
      <c r="K25" s="112"/>
      <c r="L25" s="111"/>
      <c r="M25" s="111"/>
      <c r="N25" s="111"/>
    </row>
    <row r="26">
      <c r="B26" s="122">
        <v>3.0</v>
      </c>
      <c r="C26" s="114" t="s">
        <v>70</v>
      </c>
      <c r="D26" s="115"/>
      <c r="E26" s="115"/>
      <c r="F26" s="115"/>
      <c r="G26" s="115"/>
      <c r="H26" s="115"/>
      <c r="I26" s="115"/>
      <c r="J26" s="115"/>
      <c r="K26" s="116"/>
      <c r="L26" s="111"/>
      <c r="M26" s="111"/>
      <c r="N26" s="111"/>
    </row>
    <row r="27">
      <c r="B27" s="111"/>
      <c r="C27" s="119" t="s">
        <v>4</v>
      </c>
      <c r="D27" s="119" t="s">
        <v>47</v>
      </c>
      <c r="E27" s="119" t="s">
        <v>48</v>
      </c>
      <c r="F27" s="119" t="s">
        <v>49</v>
      </c>
      <c r="G27" s="119" t="s">
        <v>50</v>
      </c>
      <c r="H27" s="119" t="s">
        <v>51</v>
      </c>
      <c r="I27" s="119" t="s">
        <v>52</v>
      </c>
      <c r="J27" s="119" t="s">
        <v>53</v>
      </c>
      <c r="K27" s="119" t="s">
        <v>54</v>
      </c>
      <c r="L27" s="111" t="s">
        <v>55</v>
      </c>
      <c r="M27" s="111" t="s">
        <v>56</v>
      </c>
      <c r="N27" s="111"/>
    </row>
    <row r="28">
      <c r="B28" s="111"/>
      <c r="C28" s="119">
        <v>1.0</v>
      </c>
      <c r="D28" s="120" t="s">
        <v>71</v>
      </c>
      <c r="E28" s="121">
        <v>1.0</v>
      </c>
      <c r="F28" s="121">
        <v>5.0</v>
      </c>
      <c r="G28" s="121">
        <v>9.0</v>
      </c>
      <c r="H28" s="121">
        <v>5.0</v>
      </c>
      <c r="I28" s="121">
        <v>4.0</v>
      </c>
      <c r="J28" s="121">
        <v>0.0</v>
      </c>
      <c r="K28" s="119">
        <f t="shared" ref="K28:K31" si="3">SUM(E28,F28,G28,H28,I28,J28)</f>
        <v>24</v>
      </c>
      <c r="L28" s="122">
        <f>SUM( K28,K29,K30,K31)</f>
        <v>60</v>
      </c>
      <c r="M28" s="123">
        <f>IFERROR(K28/L28,"0%")</f>
        <v>0.4</v>
      </c>
      <c r="N28" s="111"/>
    </row>
    <row r="29">
      <c r="B29" s="111"/>
      <c r="C29" s="119">
        <v>2.0</v>
      </c>
      <c r="D29" s="120" t="s">
        <v>72</v>
      </c>
      <c r="E29" s="121">
        <v>5.0</v>
      </c>
      <c r="F29" s="121">
        <v>3.0</v>
      </c>
      <c r="G29" s="121">
        <v>8.0</v>
      </c>
      <c r="H29" s="121">
        <v>2.0</v>
      </c>
      <c r="I29" s="121">
        <v>3.0</v>
      </c>
      <c r="J29" s="121">
        <v>0.0</v>
      </c>
      <c r="K29" s="119">
        <f t="shared" si="3"/>
        <v>21</v>
      </c>
      <c r="L29" s="111"/>
      <c r="M29" s="125">
        <f>IFERROR(K29/L28,"0%")</f>
        <v>0.35</v>
      </c>
      <c r="N29" s="111"/>
    </row>
    <row r="30">
      <c r="B30" s="111"/>
      <c r="C30" s="119">
        <v>3.0</v>
      </c>
      <c r="D30" s="120" t="s">
        <v>73</v>
      </c>
      <c r="E30" s="121">
        <v>2.0</v>
      </c>
      <c r="F30" s="121">
        <v>4.0</v>
      </c>
      <c r="G30" s="121">
        <v>2.0</v>
      </c>
      <c r="H30" s="121">
        <v>0.0</v>
      </c>
      <c r="I30" s="121">
        <v>1.0</v>
      </c>
      <c r="J30" s="121">
        <v>0.0</v>
      </c>
      <c r="K30" s="119">
        <f t="shared" si="3"/>
        <v>9</v>
      </c>
      <c r="L30" s="111"/>
      <c r="M30" s="125">
        <f>IFERROR(K30/L28,"0%")</f>
        <v>0.15</v>
      </c>
      <c r="N30" s="111"/>
    </row>
    <row r="31">
      <c r="B31" s="111"/>
      <c r="C31" s="119">
        <v>4.0</v>
      </c>
      <c r="D31" s="120" t="s">
        <v>74</v>
      </c>
      <c r="E31" s="121">
        <v>0.0</v>
      </c>
      <c r="F31" s="121">
        <v>0.0</v>
      </c>
      <c r="G31" s="121">
        <v>2.0</v>
      </c>
      <c r="H31" s="121">
        <v>2.0</v>
      </c>
      <c r="I31" s="121">
        <v>2.0</v>
      </c>
      <c r="J31" s="121">
        <v>0.0</v>
      </c>
      <c r="K31" s="119">
        <f t="shared" si="3"/>
        <v>6</v>
      </c>
      <c r="L31" s="111"/>
      <c r="M31" s="123">
        <f>IFERROR(K31/L28,"0%")</f>
        <v>0.1</v>
      </c>
      <c r="N31" s="111"/>
    </row>
    <row r="32">
      <c r="B32" s="111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</row>
    <row r="33">
      <c r="B33" s="111"/>
      <c r="C33" s="112"/>
      <c r="D33" s="112"/>
      <c r="E33" s="112"/>
      <c r="F33" s="112"/>
      <c r="G33" s="112"/>
      <c r="H33" s="112"/>
      <c r="I33" s="112"/>
      <c r="J33" s="112"/>
      <c r="K33" s="112"/>
      <c r="L33" s="111"/>
      <c r="M33" s="111"/>
      <c r="N33" s="111"/>
    </row>
    <row r="34">
      <c r="B34" s="122">
        <v>4.0</v>
      </c>
      <c r="C34" s="114" t="s">
        <v>75</v>
      </c>
      <c r="D34" s="115"/>
      <c r="E34" s="115"/>
      <c r="F34" s="115"/>
      <c r="G34" s="115"/>
      <c r="H34" s="115"/>
      <c r="I34" s="115"/>
      <c r="J34" s="115"/>
      <c r="K34" s="116"/>
      <c r="L34" s="111"/>
      <c r="M34" s="111"/>
      <c r="N34" s="111"/>
    </row>
    <row r="35">
      <c r="B35" s="111"/>
      <c r="C35" s="119" t="s">
        <v>4</v>
      </c>
      <c r="D35" s="119" t="s">
        <v>47</v>
      </c>
      <c r="E35" s="119" t="s">
        <v>48</v>
      </c>
      <c r="F35" s="119" t="s">
        <v>49</v>
      </c>
      <c r="G35" s="119" t="s">
        <v>50</v>
      </c>
      <c r="H35" s="119" t="s">
        <v>51</v>
      </c>
      <c r="I35" s="119" t="s">
        <v>52</v>
      </c>
      <c r="J35" s="119" t="s">
        <v>53</v>
      </c>
      <c r="K35" s="119" t="s">
        <v>54</v>
      </c>
      <c r="L35" s="111" t="s">
        <v>55</v>
      </c>
      <c r="M35" s="111" t="s">
        <v>56</v>
      </c>
      <c r="N35" s="111"/>
    </row>
    <row r="36">
      <c r="B36" s="111"/>
      <c r="C36" s="119">
        <v>1.0</v>
      </c>
      <c r="D36" s="120" t="s">
        <v>76</v>
      </c>
      <c r="E36" s="121">
        <v>0.0</v>
      </c>
      <c r="F36" s="121">
        <v>3.0</v>
      </c>
      <c r="G36" s="121">
        <v>2.0</v>
      </c>
      <c r="H36" s="121">
        <v>3.0</v>
      </c>
      <c r="I36" s="121">
        <v>1.0</v>
      </c>
      <c r="J36" s="121">
        <v>4.0</v>
      </c>
      <c r="K36" s="119">
        <f t="shared" ref="K36:K39" si="4">SUM(E36,F36,G36,H36,I36,J36)</f>
        <v>13</v>
      </c>
      <c r="L36" s="122">
        <f>SUM( K36,K37,K38,K39)</f>
        <v>55</v>
      </c>
      <c r="M36" s="123">
        <f>IFERROR(K36/L36,"0%")</f>
        <v>0.2363636364</v>
      </c>
      <c r="N36" s="111"/>
    </row>
    <row r="37">
      <c r="B37" s="111"/>
      <c r="C37" s="119">
        <v>2.0</v>
      </c>
      <c r="D37" s="120" t="s">
        <v>77</v>
      </c>
      <c r="E37" s="121">
        <v>3.0</v>
      </c>
      <c r="F37" s="121">
        <v>3.0</v>
      </c>
      <c r="G37" s="121">
        <v>4.0</v>
      </c>
      <c r="H37" s="121">
        <v>4.0</v>
      </c>
      <c r="I37" s="121">
        <v>0.0</v>
      </c>
      <c r="J37" s="121">
        <v>3.0</v>
      </c>
      <c r="K37" s="119">
        <f t="shared" si="4"/>
        <v>17</v>
      </c>
      <c r="L37" s="111"/>
      <c r="M37" s="125">
        <f>IFERROR(K37/L36,"0%")</f>
        <v>0.3090909091</v>
      </c>
      <c r="N37" s="111"/>
    </row>
    <row r="38">
      <c r="B38" s="111"/>
      <c r="C38" s="119">
        <v>3.0</v>
      </c>
      <c r="D38" s="120" t="s">
        <v>78</v>
      </c>
      <c r="E38" s="121">
        <v>1.0</v>
      </c>
      <c r="F38" s="121">
        <v>3.0</v>
      </c>
      <c r="G38" s="121">
        <v>2.0</v>
      </c>
      <c r="H38" s="121">
        <v>4.0</v>
      </c>
      <c r="I38" s="121">
        <v>0.0</v>
      </c>
      <c r="J38" s="121">
        <v>3.0</v>
      </c>
      <c r="K38" s="119">
        <f t="shared" si="4"/>
        <v>13</v>
      </c>
      <c r="L38" s="111"/>
      <c r="M38" s="125">
        <f>IFERROR(K38/L36,"0%")</f>
        <v>0.2363636364</v>
      </c>
      <c r="N38" s="111"/>
    </row>
    <row r="39">
      <c r="B39" s="111"/>
      <c r="C39" s="119">
        <v>4.0</v>
      </c>
      <c r="D39" s="120" t="s">
        <v>79</v>
      </c>
      <c r="E39" s="121">
        <v>2.0</v>
      </c>
      <c r="F39" s="121">
        <v>4.0</v>
      </c>
      <c r="G39" s="121">
        <v>1.0</v>
      </c>
      <c r="H39" s="121">
        <v>2.0</v>
      </c>
      <c r="I39" s="121">
        <v>0.0</v>
      </c>
      <c r="J39" s="121">
        <v>3.0</v>
      </c>
      <c r="K39" s="119">
        <f t="shared" si="4"/>
        <v>12</v>
      </c>
      <c r="L39" s="111"/>
      <c r="M39" s="123">
        <f>IFERROR(K39/L36,"0%")</f>
        <v>0.2181818182</v>
      </c>
      <c r="N39" s="111"/>
    </row>
    <row r="40"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</row>
    <row r="41">
      <c r="B41" s="111"/>
      <c r="C41" s="112"/>
      <c r="D41" s="112"/>
      <c r="E41" s="112"/>
      <c r="F41" s="112"/>
      <c r="G41" s="112"/>
      <c r="H41" s="112"/>
      <c r="I41" s="112"/>
      <c r="J41" s="112"/>
      <c r="K41" s="112"/>
      <c r="L41" s="111"/>
      <c r="M41" s="111"/>
      <c r="N41" s="111"/>
    </row>
    <row r="42">
      <c r="B42" s="122">
        <v>5.0</v>
      </c>
      <c r="C42" s="114" t="s">
        <v>80</v>
      </c>
      <c r="D42" s="115"/>
      <c r="E42" s="115"/>
      <c r="F42" s="115"/>
      <c r="G42" s="115"/>
      <c r="H42" s="115"/>
      <c r="I42" s="115"/>
      <c r="J42" s="115"/>
      <c r="K42" s="116"/>
      <c r="L42" s="111"/>
      <c r="M42" s="111"/>
      <c r="N42" s="111"/>
    </row>
    <row r="43">
      <c r="B43" s="111"/>
      <c r="C43" s="119" t="s">
        <v>4</v>
      </c>
      <c r="D43" s="119" t="s">
        <v>47</v>
      </c>
      <c r="E43" s="119" t="s">
        <v>48</v>
      </c>
      <c r="F43" s="119" t="s">
        <v>49</v>
      </c>
      <c r="G43" s="119" t="s">
        <v>50</v>
      </c>
      <c r="H43" s="119" t="s">
        <v>51</v>
      </c>
      <c r="I43" s="119" t="s">
        <v>52</v>
      </c>
      <c r="J43" s="119" t="s">
        <v>53</v>
      </c>
      <c r="K43" s="119" t="s">
        <v>54</v>
      </c>
      <c r="L43" s="111" t="s">
        <v>55</v>
      </c>
      <c r="M43" s="111" t="s">
        <v>56</v>
      </c>
      <c r="N43" s="111"/>
    </row>
    <row r="44">
      <c r="B44" s="111"/>
      <c r="C44" s="119">
        <v>1.0</v>
      </c>
      <c r="D44" s="120" t="s">
        <v>81</v>
      </c>
      <c r="E44" s="121">
        <v>8.0</v>
      </c>
      <c r="F44" s="121">
        <v>2.0</v>
      </c>
      <c r="G44" s="121">
        <v>3.0</v>
      </c>
      <c r="H44" s="121">
        <v>0.0</v>
      </c>
      <c r="I44" s="121">
        <v>3.0</v>
      </c>
      <c r="J44" s="121">
        <v>4.0</v>
      </c>
      <c r="K44" s="119">
        <f t="shared" ref="K44:K47" si="5">SUM(E44,F44,G44,H44,I44,J44)</f>
        <v>20</v>
      </c>
      <c r="L44" s="122">
        <f>SUM( K44,K45,K46,K47)</f>
        <v>53</v>
      </c>
      <c r="M44" s="123">
        <f>IFERROR(K44/L44,"0%")</f>
        <v>0.3773584906</v>
      </c>
      <c r="N44" s="111"/>
    </row>
    <row r="45">
      <c r="B45" s="111"/>
      <c r="C45" s="119">
        <v>2.0</v>
      </c>
      <c r="D45" s="120" t="s">
        <v>82</v>
      </c>
      <c r="E45" s="121">
        <v>1.0</v>
      </c>
      <c r="F45" s="121">
        <v>1.0</v>
      </c>
      <c r="G45" s="121">
        <v>2.0</v>
      </c>
      <c r="H45" s="121">
        <v>0.0</v>
      </c>
      <c r="I45" s="121">
        <v>2.0</v>
      </c>
      <c r="J45" s="121">
        <v>2.0</v>
      </c>
      <c r="K45" s="119">
        <f t="shared" si="5"/>
        <v>8</v>
      </c>
      <c r="L45" s="111"/>
      <c r="M45" s="125">
        <f>IFERROR(K45/L44,"0%")</f>
        <v>0.1509433962</v>
      </c>
      <c r="N45" s="111"/>
    </row>
    <row r="46">
      <c r="B46" s="111"/>
      <c r="C46" s="119">
        <v>3.0</v>
      </c>
      <c r="D46" s="120" t="s">
        <v>83</v>
      </c>
      <c r="E46" s="121">
        <v>5.0</v>
      </c>
      <c r="F46" s="121">
        <v>0.0</v>
      </c>
      <c r="G46" s="121">
        <v>1.0</v>
      </c>
      <c r="H46" s="121">
        <v>0.0</v>
      </c>
      <c r="I46" s="121">
        <v>6.0</v>
      </c>
      <c r="J46" s="121">
        <v>1.0</v>
      </c>
      <c r="K46" s="119">
        <f t="shared" si="5"/>
        <v>13</v>
      </c>
      <c r="L46" s="111"/>
      <c r="M46" s="125">
        <f>IFERROR(K46/L44,"0%")</f>
        <v>0.2452830189</v>
      </c>
      <c r="N46" s="111"/>
    </row>
    <row r="47">
      <c r="B47" s="111"/>
      <c r="C47" s="119">
        <v>4.0</v>
      </c>
      <c r="D47" s="120" t="s">
        <v>84</v>
      </c>
      <c r="E47" s="121">
        <v>1.0</v>
      </c>
      <c r="F47" s="121">
        <v>1.0</v>
      </c>
      <c r="G47" s="121">
        <v>4.0</v>
      </c>
      <c r="H47" s="121">
        <v>1.0</v>
      </c>
      <c r="I47" s="121">
        <v>3.0</v>
      </c>
      <c r="J47" s="121">
        <v>2.0</v>
      </c>
      <c r="K47" s="119">
        <f t="shared" si="5"/>
        <v>12</v>
      </c>
      <c r="L47" s="111"/>
      <c r="M47" s="123">
        <f>IFERROR(K47/L44,"0%")</f>
        <v>0.2264150943</v>
      </c>
      <c r="N47" s="111"/>
    </row>
    <row r="48"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</row>
    <row r="49">
      <c r="B49" s="111"/>
      <c r="C49" s="112"/>
      <c r="D49" s="112"/>
      <c r="E49" s="112"/>
      <c r="F49" s="112"/>
      <c r="G49" s="112"/>
      <c r="H49" s="112"/>
      <c r="I49" s="112"/>
      <c r="J49" s="112"/>
      <c r="K49" s="112"/>
      <c r="L49" s="111"/>
      <c r="M49" s="111"/>
      <c r="N49" s="111"/>
    </row>
    <row r="50">
      <c r="B50" s="122">
        <v>6.0</v>
      </c>
      <c r="C50" s="114" t="s">
        <v>85</v>
      </c>
      <c r="D50" s="115"/>
      <c r="E50" s="115"/>
      <c r="F50" s="115"/>
      <c r="G50" s="115"/>
      <c r="H50" s="115"/>
      <c r="I50" s="115"/>
      <c r="J50" s="115"/>
      <c r="K50" s="116"/>
      <c r="L50" s="111"/>
      <c r="M50" s="111"/>
      <c r="N50" s="111"/>
    </row>
    <row r="51">
      <c r="B51" s="111"/>
      <c r="C51" s="119" t="s">
        <v>4</v>
      </c>
      <c r="D51" s="119" t="s">
        <v>47</v>
      </c>
      <c r="E51" s="119" t="s">
        <v>48</v>
      </c>
      <c r="F51" s="119" t="s">
        <v>49</v>
      </c>
      <c r="G51" s="119" t="s">
        <v>50</v>
      </c>
      <c r="H51" s="119" t="s">
        <v>51</v>
      </c>
      <c r="I51" s="119" t="s">
        <v>52</v>
      </c>
      <c r="J51" s="119" t="s">
        <v>53</v>
      </c>
      <c r="K51" s="119" t="s">
        <v>54</v>
      </c>
      <c r="L51" s="111" t="s">
        <v>55</v>
      </c>
      <c r="M51" s="111" t="s">
        <v>56</v>
      </c>
      <c r="N51" s="111"/>
    </row>
    <row r="52">
      <c r="B52" s="111"/>
      <c r="C52" s="119">
        <v>1.0</v>
      </c>
      <c r="D52" s="120" t="s">
        <v>86</v>
      </c>
      <c r="E52" s="121">
        <v>3.0</v>
      </c>
      <c r="F52" s="121">
        <v>0.0</v>
      </c>
      <c r="G52" s="121">
        <v>0.0</v>
      </c>
      <c r="H52" s="121">
        <v>3.0</v>
      </c>
      <c r="I52" s="121">
        <v>1.0</v>
      </c>
      <c r="J52" s="121">
        <v>2.0</v>
      </c>
      <c r="K52" s="119">
        <f t="shared" ref="K52:K55" si="6">SUM(E52,F52,G52,H52,I52,J52)</f>
        <v>9</v>
      </c>
      <c r="L52" s="122">
        <f>SUM( K52,K53,K54,K55)</f>
        <v>58</v>
      </c>
      <c r="M52" s="123">
        <f>IFERROR(K52/L52,"0%")</f>
        <v>0.1551724138</v>
      </c>
      <c r="N52" s="111"/>
    </row>
    <row r="53">
      <c r="B53" s="111"/>
      <c r="C53" s="119">
        <v>2.0</v>
      </c>
      <c r="D53" s="120" t="s">
        <v>87</v>
      </c>
      <c r="E53" s="121">
        <v>1.0</v>
      </c>
      <c r="F53" s="121">
        <v>4.0</v>
      </c>
      <c r="G53" s="121">
        <v>1.0</v>
      </c>
      <c r="H53" s="121">
        <v>1.0</v>
      </c>
      <c r="I53" s="121">
        <v>1.0</v>
      </c>
      <c r="J53" s="121">
        <v>3.0</v>
      </c>
      <c r="K53" s="119">
        <f t="shared" si="6"/>
        <v>11</v>
      </c>
      <c r="L53" s="111"/>
      <c r="M53" s="125">
        <f>IFERROR(K53/L52,"0%")</f>
        <v>0.1896551724</v>
      </c>
      <c r="N53" s="111"/>
    </row>
    <row r="54">
      <c r="B54" s="111"/>
      <c r="C54" s="119">
        <v>3.0</v>
      </c>
      <c r="D54" s="120" t="s">
        <v>66</v>
      </c>
      <c r="E54" s="121">
        <v>7.0</v>
      </c>
      <c r="F54" s="121">
        <v>1.0</v>
      </c>
      <c r="G54" s="121">
        <v>0.0</v>
      </c>
      <c r="H54" s="121">
        <v>7.0</v>
      </c>
      <c r="I54" s="121">
        <v>6.0</v>
      </c>
      <c r="J54" s="121">
        <v>5.0</v>
      </c>
      <c r="K54" s="119">
        <f t="shared" si="6"/>
        <v>26</v>
      </c>
      <c r="L54" s="111"/>
      <c r="M54" s="125">
        <f>IFERROR(K54/L52,"0%")</f>
        <v>0.4482758621</v>
      </c>
      <c r="N54" s="111"/>
    </row>
    <row r="55">
      <c r="B55" s="111"/>
      <c r="C55" s="119">
        <v>4.0</v>
      </c>
      <c r="D55" s="120" t="s">
        <v>88</v>
      </c>
      <c r="E55" s="121">
        <v>4.0</v>
      </c>
      <c r="F55" s="121">
        <v>1.0</v>
      </c>
      <c r="G55" s="121">
        <v>0.0</v>
      </c>
      <c r="H55" s="121">
        <v>0.0</v>
      </c>
      <c r="I55" s="121">
        <v>1.0</v>
      </c>
      <c r="J55" s="121">
        <v>6.0</v>
      </c>
      <c r="K55" s="119">
        <f t="shared" si="6"/>
        <v>12</v>
      </c>
      <c r="L55" s="111"/>
      <c r="M55" s="123">
        <f>IFERROR(K55/L52,"0%")</f>
        <v>0.2068965517</v>
      </c>
      <c r="N55" s="111"/>
    </row>
    <row r="56"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</row>
    <row r="57"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</row>
  </sheetData>
  <mergeCells count="6">
    <mergeCell ref="C8:K8"/>
    <mergeCell ref="C17:K17"/>
    <mergeCell ref="C26:K26"/>
    <mergeCell ref="C34:K34"/>
    <mergeCell ref="C42:K42"/>
    <mergeCell ref="C50:K5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C4" s="131" t="s">
        <v>89</v>
      </c>
      <c r="D4" s="115"/>
      <c r="E4" s="115"/>
      <c r="F4" s="115"/>
      <c r="G4" s="115"/>
      <c r="H4" s="115"/>
      <c r="I4" s="115"/>
      <c r="J4" s="115"/>
      <c r="K4" s="116"/>
      <c r="L4" s="111"/>
      <c r="M4" s="111"/>
    </row>
    <row r="5">
      <c r="C5" s="119" t="s">
        <v>4</v>
      </c>
      <c r="D5" s="119" t="s">
        <v>47</v>
      </c>
      <c r="E5" s="119" t="s">
        <v>48</v>
      </c>
      <c r="F5" s="119" t="s">
        <v>49</v>
      </c>
      <c r="G5" s="119" t="s">
        <v>50</v>
      </c>
      <c r="H5" s="119" t="s">
        <v>51</v>
      </c>
      <c r="I5" s="119" t="s">
        <v>52</v>
      </c>
      <c r="J5" s="119" t="s">
        <v>53</v>
      </c>
      <c r="K5" s="119" t="s">
        <v>54</v>
      </c>
      <c r="L5" s="132" t="s">
        <v>55</v>
      </c>
      <c r="M5" s="111" t="s">
        <v>56</v>
      </c>
      <c r="Q5" s="124" t="s">
        <v>58</v>
      </c>
      <c r="R5" s="124" t="s">
        <v>27</v>
      </c>
      <c r="S5" s="124" t="s">
        <v>59</v>
      </c>
      <c r="T5" s="124" t="s">
        <v>60</v>
      </c>
    </row>
    <row r="6">
      <c r="C6" s="119">
        <v>1.0</v>
      </c>
      <c r="D6" s="133" t="s">
        <v>90</v>
      </c>
      <c r="E6" s="134">
        <v>1.0</v>
      </c>
      <c r="F6" s="134">
        <v>4.0</v>
      </c>
      <c r="G6" s="134">
        <v>5.0</v>
      </c>
      <c r="H6" s="134">
        <v>6.0</v>
      </c>
      <c r="I6" s="134">
        <v>1.0</v>
      </c>
      <c r="J6" s="134">
        <v>3.0</v>
      </c>
      <c r="K6" s="119">
        <f t="shared" ref="K6:K9" si="1">SUM(E6,F6,G6,H6,I6,J6)</f>
        <v>20</v>
      </c>
      <c r="L6" s="135">
        <f>SUM( K6,K7,K8,K9)</f>
        <v>80</v>
      </c>
      <c r="M6" s="123">
        <f>IFERROR(K6/L6,"0%")</f>
        <v>0.25</v>
      </c>
      <c r="Q6" s="124">
        <v>1.0</v>
      </c>
      <c r="R6" s="133" t="s">
        <v>91</v>
      </c>
      <c r="S6" s="136">
        <v>36.0</v>
      </c>
      <c r="T6" s="137">
        <v>0.3870967741935484</v>
      </c>
    </row>
    <row r="7">
      <c r="C7" s="119">
        <v>2.0</v>
      </c>
      <c r="D7" s="133" t="s">
        <v>92</v>
      </c>
      <c r="E7" s="134">
        <v>0.0</v>
      </c>
      <c r="F7" s="134">
        <v>3.0</v>
      </c>
      <c r="G7" s="134">
        <v>5.0</v>
      </c>
      <c r="H7" s="134">
        <v>6.0</v>
      </c>
      <c r="I7" s="134">
        <v>1.0</v>
      </c>
      <c r="J7" s="134">
        <v>2.0</v>
      </c>
      <c r="K7" s="119">
        <f t="shared" si="1"/>
        <v>17</v>
      </c>
      <c r="L7" s="132"/>
      <c r="M7" s="125">
        <f>IFERROR(K7/L6,"0%")</f>
        <v>0.2125</v>
      </c>
      <c r="Q7" s="124">
        <v>2.0</v>
      </c>
      <c r="R7" s="133" t="s">
        <v>93</v>
      </c>
      <c r="S7" s="119">
        <v>29.0</v>
      </c>
      <c r="T7" s="138">
        <v>0.31521739130434784</v>
      </c>
    </row>
    <row r="8">
      <c r="C8" s="119">
        <v>3.0</v>
      </c>
      <c r="D8" s="133" t="s">
        <v>94</v>
      </c>
      <c r="E8" s="134">
        <v>2.0</v>
      </c>
      <c r="F8" s="134">
        <v>4.0</v>
      </c>
      <c r="G8" s="134">
        <v>7.0</v>
      </c>
      <c r="H8" s="134">
        <v>4.0</v>
      </c>
      <c r="I8" s="134">
        <v>4.0</v>
      </c>
      <c r="J8" s="134">
        <v>3.0</v>
      </c>
      <c r="K8" s="119">
        <f t="shared" si="1"/>
        <v>24</v>
      </c>
      <c r="L8" s="132"/>
      <c r="M8" s="125">
        <f>IFERROR(K8/L6,"0%")</f>
        <v>0.3</v>
      </c>
      <c r="Q8" s="124">
        <v>3.0</v>
      </c>
      <c r="R8" s="133" t="s">
        <v>94</v>
      </c>
      <c r="S8" s="136">
        <v>24.0</v>
      </c>
      <c r="T8" s="138">
        <v>0.3</v>
      </c>
    </row>
    <row r="9">
      <c r="C9" s="119">
        <v>4.0</v>
      </c>
      <c r="D9" s="133" t="s">
        <v>95</v>
      </c>
      <c r="E9" s="134">
        <v>0.0</v>
      </c>
      <c r="F9" s="134">
        <v>2.0</v>
      </c>
      <c r="G9" s="134">
        <v>3.0</v>
      </c>
      <c r="H9" s="134">
        <v>5.0</v>
      </c>
      <c r="I9" s="134">
        <v>6.0</v>
      </c>
      <c r="J9" s="134">
        <v>3.0</v>
      </c>
      <c r="K9" s="119">
        <f t="shared" si="1"/>
        <v>19</v>
      </c>
      <c r="L9" s="132"/>
      <c r="M9" s="123">
        <f>IFERROR(K9/L6,"0%")</f>
        <v>0.2375</v>
      </c>
      <c r="Q9" s="124">
        <v>4.0</v>
      </c>
      <c r="R9" s="133" t="s">
        <v>96</v>
      </c>
      <c r="S9" s="136">
        <v>24.0</v>
      </c>
      <c r="T9" s="138">
        <v>0.2608695652173913</v>
      </c>
    </row>
    <row r="10">
      <c r="C10" s="111"/>
      <c r="D10" s="111"/>
      <c r="E10" s="111"/>
      <c r="F10" s="111"/>
      <c r="G10" s="111"/>
      <c r="H10" s="111"/>
      <c r="I10" s="111"/>
      <c r="J10" s="111"/>
      <c r="K10" s="111"/>
      <c r="L10" s="132"/>
      <c r="M10" s="129"/>
    </row>
    <row r="11">
      <c r="C11" s="111"/>
      <c r="D11" s="111"/>
      <c r="E11" s="111"/>
      <c r="F11" s="111"/>
      <c r="G11" s="111"/>
      <c r="H11" s="111"/>
      <c r="I11" s="111"/>
      <c r="J11" s="111"/>
      <c r="K11" s="111"/>
      <c r="L11" s="132"/>
      <c r="M11" s="129"/>
    </row>
    <row r="12">
      <c r="C12" s="112"/>
      <c r="D12" s="112"/>
      <c r="E12" s="112"/>
      <c r="F12" s="112"/>
      <c r="G12" s="112"/>
      <c r="H12" s="112"/>
      <c r="I12" s="112"/>
      <c r="J12" s="112"/>
      <c r="K12" s="112"/>
      <c r="L12" s="132"/>
      <c r="M12" s="130"/>
    </row>
    <row r="13">
      <c r="C13" s="131" t="s">
        <v>97</v>
      </c>
      <c r="D13" s="115"/>
      <c r="E13" s="115"/>
      <c r="F13" s="115"/>
      <c r="G13" s="115"/>
      <c r="H13" s="115"/>
      <c r="I13" s="115"/>
      <c r="J13" s="115"/>
      <c r="K13" s="116"/>
      <c r="L13" s="132"/>
      <c r="M13" s="130"/>
    </row>
    <row r="14">
      <c r="C14" s="119" t="s">
        <v>4</v>
      </c>
      <c r="D14" s="119" t="s">
        <v>47</v>
      </c>
      <c r="E14" s="119" t="s">
        <v>48</v>
      </c>
      <c r="F14" s="119" t="s">
        <v>49</v>
      </c>
      <c r="G14" s="119" t="s">
        <v>50</v>
      </c>
      <c r="H14" s="119" t="s">
        <v>51</v>
      </c>
      <c r="I14" s="119" t="s">
        <v>52</v>
      </c>
      <c r="J14" s="119" t="s">
        <v>53</v>
      </c>
      <c r="K14" s="119" t="s">
        <v>54</v>
      </c>
      <c r="L14" s="132" t="s">
        <v>55</v>
      </c>
      <c r="M14" s="111" t="s">
        <v>56</v>
      </c>
    </row>
    <row r="15">
      <c r="C15" s="119">
        <v>1.0</v>
      </c>
      <c r="D15" s="133" t="s">
        <v>98</v>
      </c>
      <c r="E15" s="134">
        <v>0.0</v>
      </c>
      <c r="F15" s="134">
        <v>2.0</v>
      </c>
      <c r="G15" s="134">
        <v>1.0</v>
      </c>
      <c r="H15" s="134">
        <v>6.0</v>
      </c>
      <c r="I15" s="134">
        <v>4.0</v>
      </c>
      <c r="J15" s="134">
        <v>7.0</v>
      </c>
      <c r="K15" s="119">
        <f t="shared" ref="K15:K18" si="2">SUM(E15,F15,G15,H15,I15,J15)</f>
        <v>20</v>
      </c>
      <c r="L15" s="135">
        <f>SUM( K15,K16,K17,K18)</f>
        <v>92</v>
      </c>
      <c r="M15" s="123">
        <f>IFERROR(K15/L15,"0%")</f>
        <v>0.2173913043</v>
      </c>
    </row>
    <row r="16">
      <c r="C16" s="119">
        <v>2.0</v>
      </c>
      <c r="D16" s="133" t="s">
        <v>93</v>
      </c>
      <c r="E16" s="134">
        <v>4.0</v>
      </c>
      <c r="F16" s="134">
        <v>2.0</v>
      </c>
      <c r="G16" s="134">
        <v>0.0</v>
      </c>
      <c r="H16" s="134">
        <v>3.0</v>
      </c>
      <c r="I16" s="134">
        <v>13.0</v>
      </c>
      <c r="J16" s="134">
        <v>7.0</v>
      </c>
      <c r="K16" s="119">
        <f t="shared" si="2"/>
        <v>29</v>
      </c>
      <c r="L16" s="132"/>
      <c r="M16" s="125">
        <f>IFERROR(K16/L15,"0%")</f>
        <v>0.3152173913</v>
      </c>
    </row>
    <row r="17">
      <c r="C17" s="119">
        <v>3.0</v>
      </c>
      <c r="D17" s="133" t="s">
        <v>99</v>
      </c>
      <c r="E17" s="134">
        <v>4.0</v>
      </c>
      <c r="F17" s="134">
        <v>2.0</v>
      </c>
      <c r="G17" s="134">
        <v>2.0</v>
      </c>
      <c r="H17" s="134">
        <v>1.0</v>
      </c>
      <c r="I17" s="134">
        <v>3.0</v>
      </c>
      <c r="J17" s="134">
        <v>7.0</v>
      </c>
      <c r="K17" s="119">
        <f t="shared" si="2"/>
        <v>19</v>
      </c>
      <c r="L17" s="132"/>
      <c r="M17" s="125">
        <f>IFERROR(K17/L15,"0%")</f>
        <v>0.2065217391</v>
      </c>
    </row>
    <row r="18">
      <c r="C18" s="119">
        <v>4.0</v>
      </c>
      <c r="D18" s="133" t="s">
        <v>96</v>
      </c>
      <c r="E18" s="134">
        <v>3.0</v>
      </c>
      <c r="F18" s="134">
        <v>2.0</v>
      </c>
      <c r="G18" s="134">
        <v>2.0</v>
      </c>
      <c r="H18" s="134">
        <v>3.0</v>
      </c>
      <c r="I18" s="134">
        <v>5.0</v>
      </c>
      <c r="J18" s="134">
        <v>9.0</v>
      </c>
      <c r="K18" s="119">
        <f t="shared" si="2"/>
        <v>24</v>
      </c>
      <c r="L18" s="132"/>
      <c r="M18" s="123">
        <f>IFERROR(K18/L15,"0%")</f>
        <v>0.2608695652</v>
      </c>
    </row>
    <row r="19"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</row>
    <row r="20"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</row>
    <row r="21">
      <c r="C21" s="112"/>
      <c r="D21" s="112"/>
      <c r="E21" s="112"/>
      <c r="F21" s="112"/>
      <c r="G21" s="112"/>
      <c r="H21" s="112"/>
      <c r="I21" s="112"/>
      <c r="J21" s="112"/>
      <c r="K21" s="112"/>
      <c r="L21" s="111"/>
      <c r="M21" s="111"/>
    </row>
    <row r="22">
      <c r="C22" s="131" t="s">
        <v>100</v>
      </c>
      <c r="D22" s="115"/>
      <c r="E22" s="115"/>
      <c r="F22" s="115"/>
      <c r="G22" s="115"/>
      <c r="H22" s="115"/>
      <c r="I22" s="115"/>
      <c r="J22" s="115"/>
      <c r="K22" s="116"/>
      <c r="L22" s="111"/>
      <c r="M22" s="111"/>
    </row>
    <row r="23">
      <c r="C23" s="119" t="s">
        <v>4</v>
      </c>
      <c r="D23" s="119" t="s">
        <v>47</v>
      </c>
      <c r="E23" s="119" t="s">
        <v>48</v>
      </c>
      <c r="F23" s="119" t="s">
        <v>49</v>
      </c>
      <c r="G23" s="119" t="s">
        <v>50</v>
      </c>
      <c r="H23" s="119" t="s">
        <v>51</v>
      </c>
      <c r="I23" s="119" t="s">
        <v>52</v>
      </c>
      <c r="J23" s="119" t="s">
        <v>53</v>
      </c>
      <c r="K23" s="119" t="s">
        <v>54</v>
      </c>
      <c r="L23" s="132" t="s">
        <v>55</v>
      </c>
      <c r="M23" s="111" t="s">
        <v>56</v>
      </c>
    </row>
    <row r="24">
      <c r="C24" s="119">
        <v>1.0</v>
      </c>
      <c r="D24" s="133" t="s">
        <v>91</v>
      </c>
      <c r="E24" s="134">
        <v>4.0</v>
      </c>
      <c r="F24" s="134">
        <v>3.0</v>
      </c>
      <c r="G24" s="134">
        <v>12.0</v>
      </c>
      <c r="H24" s="134">
        <v>3.0</v>
      </c>
      <c r="I24" s="134">
        <v>0.0</v>
      </c>
      <c r="J24" s="134">
        <v>14.0</v>
      </c>
      <c r="K24" s="119">
        <f t="shared" ref="K24:K27" si="3">SUM(E24,F24,G24,H24,I24,J24)</f>
        <v>36</v>
      </c>
      <c r="L24" s="135">
        <f>SUM( K24,K25,K26,K27)</f>
        <v>93</v>
      </c>
      <c r="M24" s="123">
        <f>IFERROR(K24/L24,"0%")</f>
        <v>0.3870967742</v>
      </c>
    </row>
    <row r="25">
      <c r="C25" s="119">
        <v>2.0</v>
      </c>
      <c r="D25" s="133" t="s">
        <v>101</v>
      </c>
      <c r="E25" s="134">
        <v>2.0</v>
      </c>
      <c r="F25" s="134">
        <v>1.0</v>
      </c>
      <c r="G25" s="134">
        <v>8.0</v>
      </c>
      <c r="H25" s="134">
        <v>0.0</v>
      </c>
      <c r="I25" s="134">
        <v>1.0</v>
      </c>
      <c r="J25" s="134">
        <v>5.0</v>
      </c>
      <c r="K25" s="119">
        <f t="shared" si="3"/>
        <v>17</v>
      </c>
      <c r="L25" s="132"/>
      <c r="M25" s="125">
        <f>IFERROR(K25/L24,"0%")</f>
        <v>0.1827956989</v>
      </c>
    </row>
    <row r="26">
      <c r="C26" s="119">
        <v>3.0</v>
      </c>
      <c r="D26" s="133" t="s">
        <v>102</v>
      </c>
      <c r="E26" s="134">
        <v>3.0</v>
      </c>
      <c r="F26" s="134">
        <v>1.0</v>
      </c>
      <c r="G26" s="134">
        <v>5.0</v>
      </c>
      <c r="H26" s="134">
        <v>4.0</v>
      </c>
      <c r="I26" s="134">
        <v>0.0</v>
      </c>
      <c r="J26" s="134">
        <v>7.0</v>
      </c>
      <c r="K26" s="119">
        <f t="shared" si="3"/>
        <v>20</v>
      </c>
      <c r="L26" s="132"/>
      <c r="M26" s="125">
        <f>IFERROR(K26/L24,"0%")</f>
        <v>0.2150537634</v>
      </c>
    </row>
    <row r="27">
      <c r="C27" s="119">
        <v>4.0</v>
      </c>
      <c r="D27" s="133" t="s">
        <v>103</v>
      </c>
      <c r="E27" s="134">
        <v>5.0</v>
      </c>
      <c r="F27" s="134">
        <v>1.0</v>
      </c>
      <c r="G27" s="134">
        <v>7.0</v>
      </c>
      <c r="H27" s="134">
        <v>0.0</v>
      </c>
      <c r="I27" s="134">
        <v>0.0</v>
      </c>
      <c r="J27" s="134">
        <v>7.0</v>
      </c>
      <c r="K27" s="119">
        <f t="shared" si="3"/>
        <v>20</v>
      </c>
      <c r="L27" s="132"/>
      <c r="M27" s="123">
        <f>IFERROR(K27/L24,"0%")</f>
        <v>0.2150537634</v>
      </c>
    </row>
    <row r="28"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</row>
    <row r="29">
      <c r="C29" s="112"/>
      <c r="D29" s="112"/>
      <c r="E29" s="112"/>
      <c r="F29" s="112"/>
      <c r="G29" s="112"/>
      <c r="H29" s="112"/>
      <c r="I29" s="112"/>
      <c r="J29" s="112"/>
      <c r="K29" s="112"/>
      <c r="L29" s="111"/>
      <c r="M29" s="111"/>
    </row>
    <row r="30">
      <c r="C30" s="131" t="s">
        <v>104</v>
      </c>
      <c r="D30" s="115"/>
      <c r="E30" s="115"/>
      <c r="F30" s="115"/>
      <c r="G30" s="115"/>
      <c r="H30" s="115"/>
      <c r="I30" s="115"/>
      <c r="J30" s="115"/>
      <c r="K30" s="116"/>
      <c r="L30" s="111"/>
      <c r="M30" s="111"/>
    </row>
    <row r="31">
      <c r="C31" s="119" t="s">
        <v>4</v>
      </c>
      <c r="D31" s="119" t="s">
        <v>47</v>
      </c>
      <c r="E31" s="119" t="s">
        <v>48</v>
      </c>
      <c r="F31" s="119" t="s">
        <v>49</v>
      </c>
      <c r="G31" s="119" t="s">
        <v>50</v>
      </c>
      <c r="H31" s="119" t="s">
        <v>51</v>
      </c>
      <c r="I31" s="119" t="s">
        <v>52</v>
      </c>
      <c r="J31" s="119" t="s">
        <v>53</v>
      </c>
      <c r="K31" s="119" t="s">
        <v>54</v>
      </c>
      <c r="L31" s="132" t="s">
        <v>55</v>
      </c>
      <c r="M31" s="111" t="s">
        <v>56</v>
      </c>
    </row>
    <row r="32">
      <c r="C32" s="119">
        <v>1.0</v>
      </c>
      <c r="D32" s="133" t="s">
        <v>105</v>
      </c>
      <c r="E32" s="134">
        <v>3.0</v>
      </c>
      <c r="F32" s="134">
        <v>5.0</v>
      </c>
      <c r="G32" s="134">
        <v>3.0</v>
      </c>
      <c r="H32" s="134">
        <v>3.0</v>
      </c>
      <c r="I32" s="134">
        <v>4.0</v>
      </c>
      <c r="J32" s="134">
        <v>3.0</v>
      </c>
      <c r="K32" s="119">
        <f t="shared" ref="K32:K35" si="4">SUM(E32,F32,G32,H32,I32,J32)</f>
        <v>21</v>
      </c>
      <c r="L32" s="135">
        <f>SUM( K32,K33,K34,K35)</f>
        <v>81</v>
      </c>
      <c r="M32" s="123">
        <f>IFERROR(K32/L32,"0%")</f>
        <v>0.2592592593</v>
      </c>
    </row>
    <row r="33">
      <c r="C33" s="119">
        <v>2.0</v>
      </c>
      <c r="D33" s="133" t="s">
        <v>106</v>
      </c>
      <c r="E33" s="134">
        <v>2.0</v>
      </c>
      <c r="F33" s="134">
        <v>5.0</v>
      </c>
      <c r="G33" s="134">
        <v>0.0</v>
      </c>
      <c r="H33" s="134">
        <v>1.0</v>
      </c>
      <c r="I33" s="134">
        <v>7.0</v>
      </c>
      <c r="J33" s="134">
        <v>7.0</v>
      </c>
      <c r="K33" s="119">
        <f t="shared" si="4"/>
        <v>22</v>
      </c>
      <c r="L33" s="132"/>
      <c r="M33" s="125">
        <f>IFERROR(K33/L32,"0%")</f>
        <v>0.2716049383</v>
      </c>
    </row>
    <row r="34">
      <c r="C34" s="119">
        <v>3.0</v>
      </c>
      <c r="D34" s="133" t="s">
        <v>107</v>
      </c>
      <c r="E34" s="134">
        <v>2.0</v>
      </c>
      <c r="F34" s="134">
        <v>8.0</v>
      </c>
      <c r="G34" s="134">
        <v>1.0</v>
      </c>
      <c r="H34" s="134">
        <v>0.0</v>
      </c>
      <c r="I34" s="134">
        <v>7.0</v>
      </c>
      <c r="J34" s="134">
        <v>4.0</v>
      </c>
      <c r="K34" s="119">
        <f t="shared" si="4"/>
        <v>22</v>
      </c>
      <c r="L34" s="132"/>
      <c r="M34" s="125">
        <f>IFERROR(K34/L32,"0%")</f>
        <v>0.2716049383</v>
      </c>
    </row>
    <row r="35">
      <c r="C35" s="119">
        <v>4.0</v>
      </c>
      <c r="D35" s="133" t="s">
        <v>108</v>
      </c>
      <c r="E35" s="134">
        <v>4.0</v>
      </c>
      <c r="F35" s="134">
        <v>2.0</v>
      </c>
      <c r="G35" s="134">
        <v>0.0</v>
      </c>
      <c r="H35" s="134">
        <v>0.0</v>
      </c>
      <c r="I35" s="134">
        <v>6.0</v>
      </c>
      <c r="J35" s="134">
        <v>4.0</v>
      </c>
      <c r="K35" s="119">
        <f t="shared" si="4"/>
        <v>16</v>
      </c>
      <c r="L35" s="132"/>
      <c r="M35" s="123">
        <f>IFERROR(K35/L32,"0%")</f>
        <v>0.1975308642</v>
      </c>
    </row>
    <row r="36"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</row>
    <row r="37">
      <c r="C37" s="112"/>
      <c r="D37" s="112"/>
      <c r="E37" s="112"/>
      <c r="F37" s="112"/>
      <c r="G37" s="112"/>
      <c r="H37" s="112"/>
      <c r="I37" s="112"/>
      <c r="J37" s="112"/>
      <c r="K37" s="112"/>
      <c r="L37" s="111"/>
      <c r="M37" s="111"/>
    </row>
    <row r="38">
      <c r="C38" s="131" t="s">
        <v>109</v>
      </c>
      <c r="D38" s="115"/>
      <c r="E38" s="115"/>
      <c r="F38" s="115"/>
      <c r="G38" s="115"/>
      <c r="H38" s="115"/>
      <c r="I38" s="115"/>
      <c r="J38" s="115"/>
      <c r="K38" s="116"/>
      <c r="L38" s="111"/>
      <c r="M38" s="111"/>
    </row>
    <row r="39">
      <c r="C39" s="119" t="s">
        <v>4</v>
      </c>
      <c r="D39" s="119" t="s">
        <v>47</v>
      </c>
      <c r="E39" s="119" t="s">
        <v>48</v>
      </c>
      <c r="F39" s="119" t="s">
        <v>49</v>
      </c>
      <c r="G39" s="119" t="s">
        <v>50</v>
      </c>
      <c r="H39" s="119" t="s">
        <v>51</v>
      </c>
      <c r="I39" s="119" t="s">
        <v>52</v>
      </c>
      <c r="J39" s="119" t="s">
        <v>53</v>
      </c>
      <c r="K39" s="119" t="s">
        <v>54</v>
      </c>
      <c r="L39" s="132" t="s">
        <v>55</v>
      </c>
      <c r="M39" s="111" t="s">
        <v>56</v>
      </c>
    </row>
    <row r="40">
      <c r="C40" s="119">
        <v>1.0</v>
      </c>
      <c r="D40" s="133" t="s">
        <v>110</v>
      </c>
      <c r="E40" s="134">
        <v>2.0</v>
      </c>
      <c r="F40" s="134">
        <v>0.0</v>
      </c>
      <c r="G40" s="134">
        <v>3.0</v>
      </c>
      <c r="H40" s="134">
        <v>5.0</v>
      </c>
      <c r="I40" s="134">
        <v>1.0</v>
      </c>
      <c r="J40" s="134">
        <v>0.0</v>
      </c>
      <c r="K40" s="119">
        <f t="shared" ref="K40:K43" si="5">SUM(E40,F40,G40,H40,I40,J40)</f>
        <v>11</v>
      </c>
      <c r="L40" s="135">
        <f>SUM( K40,K41,K42,K43)</f>
        <v>62</v>
      </c>
      <c r="M40" s="123">
        <f>IFERROR(K40/L40,"0%")</f>
        <v>0.1774193548</v>
      </c>
    </row>
    <row r="41">
      <c r="C41" s="119">
        <v>2.0</v>
      </c>
      <c r="D41" s="133" t="s">
        <v>111</v>
      </c>
      <c r="E41" s="134">
        <v>7.0</v>
      </c>
      <c r="F41" s="134">
        <v>0.0</v>
      </c>
      <c r="G41" s="134">
        <v>0.0</v>
      </c>
      <c r="H41" s="134">
        <v>6.0</v>
      </c>
      <c r="I41" s="134">
        <v>2.0</v>
      </c>
      <c r="J41" s="134">
        <v>4.0</v>
      </c>
      <c r="K41" s="119">
        <f t="shared" si="5"/>
        <v>19</v>
      </c>
      <c r="L41" s="132"/>
      <c r="M41" s="125">
        <f>IFERROR(K41/L40,"0%")</f>
        <v>0.3064516129</v>
      </c>
    </row>
    <row r="42">
      <c r="C42" s="119">
        <v>3.0</v>
      </c>
      <c r="D42" s="133" t="s">
        <v>112</v>
      </c>
      <c r="E42" s="134">
        <v>2.0</v>
      </c>
      <c r="F42" s="134">
        <v>1.0</v>
      </c>
      <c r="G42" s="134">
        <v>4.0</v>
      </c>
      <c r="H42" s="134">
        <v>4.0</v>
      </c>
      <c r="I42" s="134">
        <v>1.0</v>
      </c>
      <c r="J42" s="134">
        <v>3.0</v>
      </c>
      <c r="K42" s="119">
        <f t="shared" si="5"/>
        <v>15</v>
      </c>
      <c r="L42" s="132"/>
      <c r="M42" s="125">
        <f>IFERROR(K42/L40,"0%")</f>
        <v>0.2419354839</v>
      </c>
    </row>
    <row r="43">
      <c r="C43" s="119">
        <v>4.0</v>
      </c>
      <c r="D43" s="133" t="s">
        <v>113</v>
      </c>
      <c r="E43" s="134">
        <v>6.0</v>
      </c>
      <c r="F43" s="134">
        <v>0.0</v>
      </c>
      <c r="G43" s="134">
        <v>3.0</v>
      </c>
      <c r="H43" s="134">
        <v>2.0</v>
      </c>
      <c r="I43" s="134">
        <v>2.0</v>
      </c>
      <c r="J43" s="134">
        <v>4.0</v>
      </c>
      <c r="K43" s="119">
        <f t="shared" si="5"/>
        <v>17</v>
      </c>
      <c r="L43" s="132"/>
      <c r="M43" s="123">
        <f>IFERROR(K43/L40,"0%")</f>
        <v>0.2741935484</v>
      </c>
    </row>
    <row r="44"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</row>
    <row r="45">
      <c r="C45" s="112"/>
      <c r="D45" s="112"/>
      <c r="E45" s="112"/>
      <c r="F45" s="112"/>
      <c r="G45" s="112"/>
      <c r="H45" s="112"/>
      <c r="I45" s="112"/>
      <c r="J45" s="112"/>
      <c r="K45" s="112"/>
      <c r="L45" s="111"/>
      <c r="M45" s="111"/>
    </row>
    <row r="46">
      <c r="C46" s="131" t="s">
        <v>114</v>
      </c>
      <c r="D46" s="115"/>
      <c r="E46" s="115"/>
      <c r="F46" s="115"/>
      <c r="G46" s="115"/>
      <c r="H46" s="115"/>
      <c r="I46" s="115"/>
      <c r="J46" s="115"/>
      <c r="K46" s="116"/>
      <c r="L46" s="111"/>
      <c r="M46" s="111"/>
    </row>
    <row r="47">
      <c r="C47" s="119" t="s">
        <v>4</v>
      </c>
      <c r="D47" s="119" t="s">
        <v>47</v>
      </c>
      <c r="E47" s="119" t="s">
        <v>48</v>
      </c>
      <c r="F47" s="119" t="s">
        <v>49</v>
      </c>
      <c r="G47" s="119" t="s">
        <v>50</v>
      </c>
      <c r="H47" s="119" t="s">
        <v>51</v>
      </c>
      <c r="I47" s="119" t="s">
        <v>52</v>
      </c>
      <c r="J47" s="119" t="s">
        <v>53</v>
      </c>
      <c r="K47" s="119" t="s">
        <v>54</v>
      </c>
      <c r="L47" s="132" t="s">
        <v>55</v>
      </c>
      <c r="M47" s="111" t="s">
        <v>56</v>
      </c>
    </row>
    <row r="48">
      <c r="C48" s="119">
        <v>1.0</v>
      </c>
      <c r="D48" s="133" t="s">
        <v>115</v>
      </c>
      <c r="E48" s="134">
        <v>0.0</v>
      </c>
      <c r="F48" s="134">
        <v>4.0</v>
      </c>
      <c r="G48" s="134">
        <v>2.0</v>
      </c>
      <c r="H48" s="134">
        <v>3.0</v>
      </c>
      <c r="I48" s="134">
        <v>3.0</v>
      </c>
      <c r="J48" s="134">
        <v>3.0</v>
      </c>
      <c r="K48" s="119">
        <f t="shared" ref="K48:K51" si="6">SUM(E48,F48,G48,H48,I48,J48)</f>
        <v>15</v>
      </c>
      <c r="L48" s="135">
        <f>SUM( K48,K49,K50,K51)</f>
        <v>54</v>
      </c>
      <c r="M48" s="123">
        <f>IFERROR(K48/L48,"0%")</f>
        <v>0.2777777778</v>
      </c>
    </row>
    <row r="49">
      <c r="C49" s="119">
        <v>2.0</v>
      </c>
      <c r="D49" s="133" t="s">
        <v>116</v>
      </c>
      <c r="E49" s="134">
        <v>0.0</v>
      </c>
      <c r="F49" s="134">
        <v>2.0</v>
      </c>
      <c r="G49" s="134">
        <v>1.0</v>
      </c>
      <c r="H49" s="134">
        <v>5.0</v>
      </c>
      <c r="I49" s="134">
        <v>3.0</v>
      </c>
      <c r="J49" s="134">
        <v>1.0</v>
      </c>
      <c r="K49" s="119">
        <f t="shared" si="6"/>
        <v>12</v>
      </c>
      <c r="L49" s="132"/>
      <c r="M49" s="125">
        <f>IFERROR(K49/L48,"0%")</f>
        <v>0.2222222222</v>
      </c>
    </row>
    <row r="50">
      <c r="C50" s="119">
        <v>3.0</v>
      </c>
      <c r="D50" s="133" t="s">
        <v>117</v>
      </c>
      <c r="E50" s="134">
        <v>0.0</v>
      </c>
      <c r="F50" s="134">
        <v>3.0</v>
      </c>
      <c r="G50" s="134">
        <v>1.0</v>
      </c>
      <c r="H50" s="134">
        <v>4.0</v>
      </c>
      <c r="I50" s="134">
        <v>4.0</v>
      </c>
      <c r="J50" s="134">
        <v>1.0</v>
      </c>
      <c r="K50" s="119">
        <f t="shared" si="6"/>
        <v>13</v>
      </c>
      <c r="L50" s="132"/>
      <c r="M50" s="125">
        <f>IFERROR(K50/L48,"0%")</f>
        <v>0.2407407407</v>
      </c>
    </row>
    <row r="51">
      <c r="C51" s="119">
        <v>4.0</v>
      </c>
      <c r="D51" s="133" t="s">
        <v>118</v>
      </c>
      <c r="E51" s="134">
        <v>0.0</v>
      </c>
      <c r="F51" s="134">
        <v>6.0</v>
      </c>
      <c r="G51" s="134">
        <v>1.0</v>
      </c>
      <c r="H51" s="134">
        <v>2.0</v>
      </c>
      <c r="I51" s="134">
        <v>3.0</v>
      </c>
      <c r="J51" s="134">
        <v>2.0</v>
      </c>
      <c r="K51" s="119">
        <f t="shared" si="6"/>
        <v>14</v>
      </c>
      <c r="L51" s="132"/>
      <c r="M51" s="123">
        <f>IFERROR(K51/L48,"0%")</f>
        <v>0.2592592593</v>
      </c>
    </row>
  </sheetData>
  <mergeCells count="6">
    <mergeCell ref="C4:K4"/>
    <mergeCell ref="C13:K13"/>
    <mergeCell ref="C22:K22"/>
    <mergeCell ref="C30:K30"/>
    <mergeCell ref="C38:K38"/>
    <mergeCell ref="C46:K4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3.25"/>
    <col customWidth="1" min="3" max="3" width="20.5"/>
    <col customWidth="1" min="4" max="4" width="6.38"/>
    <col customWidth="1" min="5" max="5" width="5.88"/>
    <col customWidth="1" min="6" max="6" width="6.13"/>
    <col customWidth="1" min="7" max="7" width="7.63"/>
    <col customWidth="1" min="8" max="8" width="3.25"/>
    <col customWidth="1" min="9" max="9" width="20.5"/>
    <col customWidth="1" min="10" max="10" width="6.88"/>
    <col customWidth="1" min="11" max="11" width="5.88"/>
    <col customWidth="1" min="12" max="12" width="6.0"/>
    <col customWidth="1" min="13" max="13" width="5.88"/>
    <col customWidth="1" min="14" max="14" width="3.75"/>
    <col customWidth="1" min="15" max="15" width="20.5"/>
    <col customWidth="1" min="16" max="16" width="6.88"/>
    <col customWidth="1" min="17" max="17" width="7.5"/>
    <col customWidth="1" min="18" max="18" width="5.63"/>
    <col customWidth="1" min="19" max="19" width="6.63"/>
    <col customWidth="1" min="20" max="20" width="5.25"/>
    <col customWidth="1" min="21" max="21" width="3.25"/>
    <col customWidth="1" min="22" max="22" width="20.5"/>
    <col customWidth="1" min="23" max="23" width="11.75"/>
    <col customWidth="1" min="24" max="25" width="6.88"/>
    <col customWidth="1" min="26" max="26" width="5.75"/>
    <col customWidth="1" min="27" max="27" width="7.25"/>
    <col customWidth="1" min="28" max="28" width="8.88"/>
    <col customWidth="1" min="29" max="29" width="4.25"/>
    <col customWidth="1" min="30" max="30" width="10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39" t="s">
        <v>0</v>
      </c>
      <c r="C2" s="140"/>
      <c r="D2" s="140"/>
      <c r="E2" s="140"/>
      <c r="F2" s="141"/>
      <c r="G2" s="1"/>
      <c r="H2" s="2" t="s">
        <v>1</v>
      </c>
      <c r="I2" s="3"/>
      <c r="J2" s="3"/>
      <c r="K2" s="3"/>
      <c r="L2" s="4"/>
      <c r="M2" s="1"/>
      <c r="N2" s="2" t="s">
        <v>2</v>
      </c>
      <c r="O2" s="3"/>
      <c r="P2" s="3"/>
      <c r="Q2" s="3"/>
      <c r="R2" s="4"/>
      <c r="S2" s="5"/>
      <c r="T2" s="1"/>
      <c r="U2" s="2" t="s">
        <v>3</v>
      </c>
      <c r="V2" s="3"/>
      <c r="W2" s="3"/>
      <c r="X2" s="3"/>
      <c r="Y2" s="4"/>
      <c r="Z2" s="5"/>
      <c r="AA2" s="26" t="s">
        <v>119</v>
      </c>
      <c r="AB2" s="5" t="s">
        <v>120</v>
      </c>
      <c r="AC2" s="1"/>
      <c r="AD2" s="1"/>
    </row>
    <row r="3">
      <c r="A3" s="1"/>
      <c r="B3" s="142" t="s">
        <v>4</v>
      </c>
      <c r="C3" s="143" t="s">
        <v>5</v>
      </c>
      <c r="D3" s="142" t="s">
        <v>6</v>
      </c>
      <c r="E3" s="142" t="s">
        <v>7</v>
      </c>
      <c r="F3" s="142" t="s">
        <v>8</v>
      </c>
      <c r="G3" s="1"/>
      <c r="H3" s="6" t="s">
        <v>4</v>
      </c>
      <c r="I3" s="8" t="s">
        <v>5</v>
      </c>
      <c r="J3" s="6" t="s">
        <v>6</v>
      </c>
      <c r="K3" s="6" t="s">
        <v>7</v>
      </c>
      <c r="L3" s="6" t="s">
        <v>8</v>
      </c>
      <c r="M3" s="1"/>
      <c r="N3" s="6" t="s">
        <v>4</v>
      </c>
      <c r="O3" s="8" t="s">
        <v>5</v>
      </c>
      <c r="P3" s="6" t="s">
        <v>6</v>
      </c>
      <c r="Q3" s="6" t="s">
        <v>7</v>
      </c>
      <c r="R3" s="6" t="s">
        <v>8</v>
      </c>
      <c r="S3" s="9"/>
      <c r="T3" s="1"/>
      <c r="U3" s="6" t="s">
        <v>4</v>
      </c>
      <c r="V3" s="8" t="s">
        <v>5</v>
      </c>
      <c r="W3" s="6" t="s">
        <v>6</v>
      </c>
      <c r="X3" s="6" t="s">
        <v>7</v>
      </c>
      <c r="Y3" s="6" t="s">
        <v>8</v>
      </c>
      <c r="AB3" s="1"/>
      <c r="AC3" s="1"/>
      <c r="AD3" s="1"/>
    </row>
    <row r="4">
      <c r="A4" s="1"/>
      <c r="B4" s="10">
        <f t="array" ref="B4:B15">SEQUENCE(12,1)</f>
        <v>1</v>
      </c>
      <c r="C4" s="11" t="s">
        <v>121</v>
      </c>
      <c r="D4" s="12">
        <v>12.0</v>
      </c>
      <c r="E4" s="144">
        <v>27.0</v>
      </c>
      <c r="F4" s="14">
        <f t="shared" ref="F4:F14" si="1">D4+E4</f>
        <v>39</v>
      </c>
      <c r="G4" s="1"/>
      <c r="H4" s="10">
        <f t="array" ref="H4:H15">SEQUENCE(12,1)</f>
        <v>1</v>
      </c>
      <c r="I4" s="15" t="str">
        <f t="shared" ref="I4:I15" si="2">C4</f>
        <v>FZ</v>
      </c>
      <c r="J4" s="12">
        <v>7.0</v>
      </c>
      <c r="K4" s="12">
        <v>7.0</v>
      </c>
      <c r="L4" s="14">
        <f t="shared" ref="L4:L14" si="3">J4+K4</f>
        <v>14</v>
      </c>
      <c r="M4" s="1"/>
      <c r="N4" s="10">
        <f t="array" ref="N4:N15">SEQUENCE(12,1)</f>
        <v>1</v>
      </c>
      <c r="O4" s="15" t="str">
        <f t="shared" ref="O4:O15" si="4">C4</f>
        <v>FZ</v>
      </c>
      <c r="P4" s="12">
        <v>12.0</v>
      </c>
      <c r="Q4" s="12">
        <v>33.0</v>
      </c>
      <c r="R4" s="14">
        <f t="shared" ref="R4:R15" si="5">P4+Q4</f>
        <v>45</v>
      </c>
      <c r="S4" s="16"/>
      <c r="T4" s="1"/>
      <c r="U4" s="10">
        <f t="array" ref="U4:U15">SEQUENCE(12,1)</f>
        <v>1</v>
      </c>
      <c r="V4" s="15" t="str">
        <f t="shared" ref="V4:V15" si="6">C4</f>
        <v>FZ</v>
      </c>
      <c r="W4" s="12">
        <v>12.0</v>
      </c>
      <c r="X4" s="12">
        <v>30.0</v>
      </c>
      <c r="Y4" s="14">
        <f t="shared" ref="Y4:Y15" si="7">W4+X4</f>
        <v>42</v>
      </c>
      <c r="AB4" s="1"/>
      <c r="AC4" s="1"/>
      <c r="AD4" s="1"/>
    </row>
    <row r="5">
      <c r="A5" s="1"/>
      <c r="B5" s="17">
        <v>2.0</v>
      </c>
      <c r="C5" s="18" t="s">
        <v>122</v>
      </c>
      <c r="D5" s="19">
        <v>8.0</v>
      </c>
      <c r="E5" s="19">
        <v>25.0</v>
      </c>
      <c r="F5" s="20">
        <f t="shared" si="1"/>
        <v>33</v>
      </c>
      <c r="G5" s="1"/>
      <c r="H5" s="17">
        <v>2.0</v>
      </c>
      <c r="I5" s="21" t="str">
        <f t="shared" si="2"/>
        <v>RGX</v>
      </c>
      <c r="J5" s="19">
        <v>3.0</v>
      </c>
      <c r="K5" s="19">
        <v>8.0</v>
      </c>
      <c r="L5" s="22">
        <f t="shared" si="3"/>
        <v>11</v>
      </c>
      <c r="M5" s="1"/>
      <c r="N5" s="17">
        <v>2.0</v>
      </c>
      <c r="O5" s="15" t="str">
        <f t="shared" si="4"/>
        <v>RGX</v>
      </c>
      <c r="P5" s="19">
        <v>7.0</v>
      </c>
      <c r="Q5" s="19">
        <v>16.0</v>
      </c>
      <c r="R5" s="22">
        <f t="shared" si="5"/>
        <v>23</v>
      </c>
      <c r="S5" s="16"/>
      <c r="T5" s="1"/>
      <c r="U5" s="17">
        <v>2.0</v>
      </c>
      <c r="V5" s="15" t="str">
        <f t="shared" si="6"/>
        <v>RGX</v>
      </c>
      <c r="W5" s="19">
        <v>1.0</v>
      </c>
      <c r="X5" s="19">
        <v>4.0</v>
      </c>
      <c r="Y5" s="14">
        <f t="shared" si="7"/>
        <v>5</v>
      </c>
      <c r="AB5" s="1"/>
      <c r="AC5" s="1"/>
      <c r="AD5" s="1"/>
    </row>
    <row r="6">
      <c r="A6" s="1"/>
      <c r="B6" s="17">
        <v>3.0</v>
      </c>
      <c r="C6" s="18" t="s">
        <v>123</v>
      </c>
      <c r="D6" s="19">
        <v>3.0</v>
      </c>
      <c r="E6" s="19">
        <v>4.0</v>
      </c>
      <c r="F6" s="20">
        <f t="shared" si="1"/>
        <v>7</v>
      </c>
      <c r="G6" s="1"/>
      <c r="H6" s="17">
        <v>3.0</v>
      </c>
      <c r="I6" s="21" t="str">
        <f t="shared" si="2"/>
        <v>NZ</v>
      </c>
      <c r="J6" s="19">
        <v>6.0</v>
      </c>
      <c r="K6" s="19">
        <v>16.0</v>
      </c>
      <c r="L6" s="22">
        <f t="shared" si="3"/>
        <v>22</v>
      </c>
      <c r="M6" s="1"/>
      <c r="N6" s="17">
        <v>3.0</v>
      </c>
      <c r="O6" s="15" t="str">
        <f t="shared" si="4"/>
        <v>NZ</v>
      </c>
      <c r="P6" s="19">
        <v>5.0</v>
      </c>
      <c r="Q6" s="19">
        <v>2.0</v>
      </c>
      <c r="R6" s="22">
        <f t="shared" si="5"/>
        <v>7</v>
      </c>
      <c r="S6" s="16"/>
      <c r="T6" s="1"/>
      <c r="U6" s="17">
        <v>3.0</v>
      </c>
      <c r="V6" s="15" t="str">
        <f t="shared" si="6"/>
        <v>NZ</v>
      </c>
      <c r="W6" s="19">
        <v>0.0</v>
      </c>
      <c r="X6" s="19">
        <v>4.0</v>
      </c>
      <c r="Y6" s="14">
        <f t="shared" si="7"/>
        <v>4</v>
      </c>
      <c r="AB6" s="1"/>
      <c r="AC6" s="1"/>
      <c r="AD6" s="1"/>
    </row>
    <row r="7">
      <c r="A7" s="1"/>
      <c r="B7" s="17">
        <v>4.0</v>
      </c>
      <c r="C7" s="13" t="s">
        <v>124</v>
      </c>
      <c r="D7" s="19">
        <v>9.0</v>
      </c>
      <c r="E7" s="145">
        <v>11.0</v>
      </c>
      <c r="F7" s="22">
        <f t="shared" si="1"/>
        <v>20</v>
      </c>
      <c r="G7" s="1"/>
      <c r="H7" s="17">
        <v>4.0</v>
      </c>
      <c r="I7" s="21" t="str">
        <f t="shared" si="2"/>
        <v>TE</v>
      </c>
      <c r="J7" s="19">
        <v>9.0</v>
      </c>
      <c r="K7" s="19">
        <v>8.0</v>
      </c>
      <c r="L7" s="22">
        <f t="shared" si="3"/>
        <v>17</v>
      </c>
      <c r="M7" s="1"/>
      <c r="N7" s="17">
        <v>4.0</v>
      </c>
      <c r="O7" s="15" t="str">
        <f t="shared" si="4"/>
        <v>TE</v>
      </c>
      <c r="P7" s="19">
        <v>9.0</v>
      </c>
      <c r="Q7" s="19">
        <v>6.0</v>
      </c>
      <c r="R7" s="22">
        <f t="shared" si="5"/>
        <v>15</v>
      </c>
      <c r="S7" s="16"/>
      <c r="T7" s="1"/>
      <c r="U7" s="17">
        <v>4.0</v>
      </c>
      <c r="V7" s="15" t="str">
        <f t="shared" si="6"/>
        <v>TE</v>
      </c>
      <c r="W7" s="19">
        <v>3.0</v>
      </c>
      <c r="X7" s="19">
        <v>11.0</v>
      </c>
      <c r="Y7" s="14">
        <f t="shared" si="7"/>
        <v>14</v>
      </c>
      <c r="AB7" s="1"/>
      <c r="AC7" s="1"/>
      <c r="AD7" s="23"/>
    </row>
    <row r="8">
      <c r="A8" s="1"/>
      <c r="B8" s="17">
        <v>5.0</v>
      </c>
      <c r="C8" s="18" t="s">
        <v>125</v>
      </c>
      <c r="D8" s="19">
        <v>1.0</v>
      </c>
      <c r="E8" s="19">
        <v>0.0</v>
      </c>
      <c r="F8" s="22">
        <f t="shared" si="1"/>
        <v>1</v>
      </c>
      <c r="G8" s="1"/>
      <c r="H8" s="17">
        <v>5.0</v>
      </c>
      <c r="I8" s="21" t="str">
        <f t="shared" si="2"/>
        <v>CB</v>
      </c>
      <c r="J8" s="19">
        <v>1.0</v>
      </c>
      <c r="K8" s="19">
        <v>2.0</v>
      </c>
      <c r="L8" s="22">
        <f t="shared" si="3"/>
        <v>3</v>
      </c>
      <c r="M8" s="1"/>
      <c r="N8" s="17">
        <v>5.0</v>
      </c>
      <c r="O8" s="15" t="str">
        <f t="shared" si="4"/>
        <v>CB</v>
      </c>
      <c r="P8" s="19">
        <v>0.0</v>
      </c>
      <c r="Q8" s="19">
        <v>0.0</v>
      </c>
      <c r="R8" s="22">
        <f t="shared" si="5"/>
        <v>0</v>
      </c>
      <c r="S8" s="16"/>
      <c r="T8" s="1"/>
      <c r="U8" s="17">
        <v>5.0</v>
      </c>
      <c r="V8" s="15" t="str">
        <f t="shared" si="6"/>
        <v>CB</v>
      </c>
      <c r="W8" s="19">
        <v>0.0</v>
      </c>
      <c r="X8" s="19">
        <v>0.0</v>
      </c>
      <c r="Y8" s="14">
        <f t="shared" si="7"/>
        <v>0</v>
      </c>
      <c r="AB8" s="1"/>
      <c r="AC8" s="1"/>
      <c r="AD8" s="1"/>
    </row>
    <row r="9">
      <c r="A9" s="1"/>
      <c r="B9" s="17">
        <v>6.0</v>
      </c>
      <c r="C9" s="18" t="s">
        <v>126</v>
      </c>
      <c r="D9" s="19">
        <v>0.0</v>
      </c>
      <c r="E9" s="19">
        <v>5.0</v>
      </c>
      <c r="F9" s="22">
        <f t="shared" si="1"/>
        <v>5</v>
      </c>
      <c r="G9" s="1"/>
      <c r="H9" s="17">
        <v>6.0</v>
      </c>
      <c r="I9" s="21" t="str">
        <f t="shared" si="2"/>
        <v>CTZ</v>
      </c>
      <c r="J9" s="19">
        <v>12.0</v>
      </c>
      <c r="K9" s="19">
        <v>24.0</v>
      </c>
      <c r="L9" s="22">
        <f t="shared" si="3"/>
        <v>36</v>
      </c>
      <c r="M9" s="1"/>
      <c r="N9" s="17">
        <v>6.0</v>
      </c>
      <c r="O9" s="15" t="str">
        <f t="shared" si="4"/>
        <v>CTZ</v>
      </c>
      <c r="P9" s="19">
        <v>8.0</v>
      </c>
      <c r="Q9" s="19">
        <v>8.0</v>
      </c>
      <c r="R9" s="22">
        <f t="shared" si="5"/>
        <v>16</v>
      </c>
      <c r="S9" s="16"/>
      <c r="T9" s="1"/>
      <c r="U9" s="17">
        <v>6.0</v>
      </c>
      <c r="V9" s="15" t="str">
        <f t="shared" si="6"/>
        <v>CTZ</v>
      </c>
      <c r="W9" s="19">
        <v>5.0</v>
      </c>
      <c r="X9" s="19">
        <v>9.0</v>
      </c>
      <c r="Y9" s="14">
        <f t="shared" si="7"/>
        <v>14</v>
      </c>
      <c r="AB9" s="1"/>
      <c r="AC9" s="1"/>
      <c r="AD9" s="1"/>
    </row>
    <row r="10">
      <c r="A10" s="1"/>
      <c r="B10" s="17">
        <v>7.0</v>
      </c>
      <c r="C10" s="18" t="s">
        <v>127</v>
      </c>
      <c r="D10" s="19">
        <v>6.0</v>
      </c>
      <c r="E10" s="145">
        <v>8.0</v>
      </c>
      <c r="F10" s="22">
        <f t="shared" si="1"/>
        <v>14</v>
      </c>
      <c r="G10" s="1"/>
      <c r="H10" s="17">
        <v>7.0</v>
      </c>
      <c r="I10" s="21" t="str">
        <f t="shared" si="2"/>
        <v>WNT VAMPIRE</v>
      </c>
      <c r="J10" s="19">
        <v>2.0</v>
      </c>
      <c r="K10" s="19">
        <v>4.0</v>
      </c>
      <c r="L10" s="22">
        <f t="shared" si="3"/>
        <v>6</v>
      </c>
      <c r="M10" s="1"/>
      <c r="N10" s="24">
        <v>7.0</v>
      </c>
      <c r="O10" s="15" t="str">
        <f t="shared" si="4"/>
        <v>WNT VAMPIRE</v>
      </c>
      <c r="P10" s="19">
        <v>3.0</v>
      </c>
      <c r="Q10" s="19">
        <v>8.0</v>
      </c>
      <c r="R10" s="22">
        <f t="shared" si="5"/>
        <v>11</v>
      </c>
      <c r="S10" s="16"/>
      <c r="T10" s="1"/>
      <c r="U10" s="17">
        <v>7.0</v>
      </c>
      <c r="V10" s="15" t="str">
        <f t="shared" si="6"/>
        <v>WNT VAMPIRE</v>
      </c>
      <c r="W10" s="19">
        <v>9.0</v>
      </c>
      <c r="X10" s="19">
        <v>12.0</v>
      </c>
      <c r="Y10" s="14">
        <f t="shared" si="7"/>
        <v>21</v>
      </c>
      <c r="AB10" s="1"/>
      <c r="AC10" s="1"/>
    </row>
    <row r="11">
      <c r="A11" s="1"/>
      <c r="B11" s="17">
        <v>8.0</v>
      </c>
      <c r="C11" s="18" t="s">
        <v>128</v>
      </c>
      <c r="D11" s="19">
        <v>2.0</v>
      </c>
      <c r="E11" s="19">
        <v>7.0</v>
      </c>
      <c r="F11" s="22">
        <f t="shared" si="1"/>
        <v>9</v>
      </c>
      <c r="G11" s="1"/>
      <c r="H11" s="17">
        <v>8.0</v>
      </c>
      <c r="I11" s="21" t="str">
        <f t="shared" si="2"/>
        <v>EG SHIV YASHVI</v>
      </c>
      <c r="J11" s="19">
        <v>0.0</v>
      </c>
      <c r="K11" s="19">
        <v>2.0</v>
      </c>
      <c r="L11" s="22">
        <f t="shared" si="3"/>
        <v>2</v>
      </c>
      <c r="M11" s="1"/>
      <c r="N11" s="25">
        <v>8.0</v>
      </c>
      <c r="O11" s="21" t="str">
        <f t="shared" si="4"/>
        <v>EG SHIV YASHVI</v>
      </c>
      <c r="P11" s="19">
        <v>2.0</v>
      </c>
      <c r="Q11" s="19">
        <v>1.0</v>
      </c>
      <c r="R11" s="22">
        <f t="shared" si="5"/>
        <v>3</v>
      </c>
      <c r="S11" s="16"/>
      <c r="T11" s="1"/>
      <c r="U11" s="17">
        <v>8.0</v>
      </c>
      <c r="V11" s="15" t="str">
        <f t="shared" si="6"/>
        <v>EG SHIV YASHVI</v>
      </c>
      <c r="W11" s="19">
        <v>8.0</v>
      </c>
      <c r="X11" s="19">
        <v>7.0</v>
      </c>
      <c r="Y11" s="14">
        <f t="shared" si="7"/>
        <v>15</v>
      </c>
      <c r="AB11" s="1"/>
      <c r="AC11" s="1"/>
      <c r="AD11" s="26" t="s">
        <v>18</v>
      </c>
    </row>
    <row r="12">
      <c r="A12" s="1"/>
      <c r="B12" s="17">
        <v>9.0</v>
      </c>
      <c r="C12" s="11" t="s">
        <v>129</v>
      </c>
      <c r="D12" s="19">
        <v>0.0</v>
      </c>
      <c r="E12" s="19">
        <v>0.0</v>
      </c>
      <c r="F12" s="22">
        <f t="shared" si="1"/>
        <v>0</v>
      </c>
      <c r="G12" s="1"/>
      <c r="H12" s="17">
        <v>9.0</v>
      </c>
      <c r="I12" s="21" t="str">
        <f t="shared" si="2"/>
        <v>RNX</v>
      </c>
      <c r="J12" s="19">
        <v>5.0</v>
      </c>
      <c r="K12" s="19">
        <v>11.0</v>
      </c>
      <c r="L12" s="22">
        <f t="shared" si="3"/>
        <v>16</v>
      </c>
      <c r="M12" s="1"/>
      <c r="N12" s="10">
        <v>9.0</v>
      </c>
      <c r="O12" s="15" t="str">
        <f t="shared" si="4"/>
        <v>RNX</v>
      </c>
      <c r="P12" s="19">
        <v>1.0</v>
      </c>
      <c r="Q12" s="19">
        <v>4.0</v>
      </c>
      <c r="R12" s="22">
        <f t="shared" si="5"/>
        <v>5</v>
      </c>
      <c r="S12" s="16"/>
      <c r="T12" s="1"/>
      <c r="U12" s="17">
        <v>9.0</v>
      </c>
      <c r="V12" s="15" t="str">
        <f t="shared" si="6"/>
        <v>RNX</v>
      </c>
      <c r="W12" s="19">
        <v>7.0</v>
      </c>
      <c r="X12" s="19">
        <v>6.0</v>
      </c>
      <c r="Y12" s="14">
        <f t="shared" si="7"/>
        <v>13</v>
      </c>
      <c r="AB12" s="1"/>
      <c r="AC12" s="1"/>
    </row>
    <row r="13">
      <c r="A13" s="1"/>
      <c r="B13" s="17">
        <v>10.0</v>
      </c>
      <c r="C13" s="18" t="s">
        <v>130</v>
      </c>
      <c r="D13" s="19">
        <v>5.0</v>
      </c>
      <c r="E13" s="145">
        <v>2.0</v>
      </c>
      <c r="F13" s="22">
        <f t="shared" si="1"/>
        <v>7</v>
      </c>
      <c r="G13" s="1"/>
      <c r="H13" s="17">
        <v>10.0</v>
      </c>
      <c r="I13" s="21" t="str">
        <f t="shared" si="2"/>
        <v>GN AES KISHMISSH</v>
      </c>
      <c r="J13" s="19">
        <v>8.0</v>
      </c>
      <c r="K13" s="19">
        <v>8.0</v>
      </c>
      <c r="L13" s="22">
        <f t="shared" si="3"/>
        <v>16</v>
      </c>
      <c r="M13" s="1"/>
      <c r="N13" s="17">
        <v>10.0</v>
      </c>
      <c r="O13" s="15" t="str">
        <f t="shared" si="4"/>
        <v>GN AES KISHMISSH</v>
      </c>
      <c r="P13" s="19">
        <v>6.0</v>
      </c>
      <c r="Q13" s="19">
        <v>9.0</v>
      </c>
      <c r="R13" s="22">
        <f t="shared" si="5"/>
        <v>15</v>
      </c>
      <c r="S13" s="16"/>
      <c r="T13" s="1"/>
      <c r="U13" s="17">
        <v>10.0</v>
      </c>
      <c r="V13" s="15" t="str">
        <f t="shared" si="6"/>
        <v>GN AES KISHMISSH</v>
      </c>
      <c r="W13" s="19">
        <v>6.0</v>
      </c>
      <c r="X13" s="19">
        <v>5.0</v>
      </c>
      <c r="Y13" s="14">
        <f t="shared" si="7"/>
        <v>11</v>
      </c>
      <c r="AB13" s="1"/>
      <c r="AC13" s="1"/>
      <c r="AD13" s="1"/>
    </row>
    <row r="14">
      <c r="A14" s="1"/>
      <c r="B14" s="17">
        <v>11.0</v>
      </c>
      <c r="C14" s="18" t="s">
        <v>131</v>
      </c>
      <c r="D14" s="19">
        <v>4.0</v>
      </c>
      <c r="E14" s="19">
        <v>7.0</v>
      </c>
      <c r="F14" s="22">
        <f t="shared" si="1"/>
        <v>11</v>
      </c>
      <c r="G14" s="1"/>
      <c r="H14" s="17">
        <v>11.0</v>
      </c>
      <c r="I14" s="21" t="str">
        <f t="shared" si="2"/>
        <v>CNX</v>
      </c>
      <c r="J14" s="19">
        <v>0.0</v>
      </c>
      <c r="K14" s="19">
        <v>0.0</v>
      </c>
      <c r="L14" s="20">
        <f t="shared" si="3"/>
        <v>0</v>
      </c>
      <c r="M14" s="1"/>
      <c r="N14" s="17">
        <v>11.0</v>
      </c>
      <c r="O14" s="15" t="str">
        <f t="shared" si="4"/>
        <v>CNX</v>
      </c>
      <c r="P14" s="19">
        <v>0.0</v>
      </c>
      <c r="Q14" s="19">
        <v>0.0</v>
      </c>
      <c r="R14" s="22">
        <f t="shared" si="5"/>
        <v>0</v>
      </c>
      <c r="S14" s="16"/>
      <c r="T14" s="1"/>
      <c r="U14" s="17">
        <v>11.0</v>
      </c>
      <c r="V14" s="15" t="str">
        <f t="shared" si="6"/>
        <v>CNX</v>
      </c>
      <c r="W14" s="19">
        <v>2.0</v>
      </c>
      <c r="X14" s="19">
        <v>5.0</v>
      </c>
      <c r="Y14" s="14">
        <f t="shared" si="7"/>
        <v>7</v>
      </c>
      <c r="AB14" s="1"/>
      <c r="AC14" s="1"/>
      <c r="AD14" s="1"/>
    </row>
    <row r="15">
      <c r="A15" s="1"/>
      <c r="B15" s="27">
        <v>12.0</v>
      </c>
      <c r="C15" s="28" t="s">
        <v>132</v>
      </c>
      <c r="D15" s="29">
        <v>7.0</v>
      </c>
      <c r="E15" s="146">
        <v>5.0</v>
      </c>
      <c r="F15" s="30">
        <f>C45+E15</f>
        <v>9</v>
      </c>
      <c r="G15" s="1"/>
      <c r="H15" s="27">
        <v>12.0</v>
      </c>
      <c r="I15" s="31" t="str">
        <f t="shared" si="2"/>
        <v>KAASH LIVE EG</v>
      </c>
      <c r="J15" s="29">
        <v>4.0</v>
      </c>
      <c r="K15" s="29">
        <v>2.0</v>
      </c>
      <c r="L15" s="30">
        <f>E45+K15</f>
        <v>9</v>
      </c>
      <c r="M15" s="1"/>
      <c r="N15" s="27">
        <v>12.0</v>
      </c>
      <c r="O15" s="32" t="str">
        <f t="shared" si="4"/>
        <v>KAASH LIVE EG</v>
      </c>
      <c r="P15" s="29">
        <v>4.0</v>
      </c>
      <c r="Q15" s="29">
        <v>0.0</v>
      </c>
      <c r="R15" s="30">
        <f t="shared" si="5"/>
        <v>4</v>
      </c>
      <c r="S15" s="16"/>
      <c r="T15" s="1"/>
      <c r="U15" s="24">
        <v>12.0</v>
      </c>
      <c r="V15" s="33" t="str">
        <f t="shared" si="6"/>
        <v>KAASH LIVE EG</v>
      </c>
      <c r="W15" s="34">
        <v>4.0</v>
      </c>
      <c r="X15" s="34">
        <v>6.0</v>
      </c>
      <c r="Y15" s="14">
        <f t="shared" si="7"/>
        <v>10</v>
      </c>
      <c r="AB15" s="1"/>
      <c r="AC15" s="1"/>
      <c r="AD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35"/>
      <c r="V16" s="36"/>
      <c r="W16" s="36"/>
      <c r="X16" s="36"/>
      <c r="Y16" s="36"/>
      <c r="Z16" s="36"/>
      <c r="AA16" s="36"/>
      <c r="AB16" s="36"/>
      <c r="AC16" s="37"/>
      <c r="AD16" s="1"/>
    </row>
    <row r="17">
      <c r="A17" s="1"/>
      <c r="B17" s="2" t="s">
        <v>23</v>
      </c>
      <c r="C17" s="3"/>
      <c r="D17" s="3"/>
      <c r="E17" s="3"/>
      <c r="F17" s="4"/>
      <c r="G17" s="1"/>
      <c r="H17" s="2" t="s">
        <v>24</v>
      </c>
      <c r="I17" s="3"/>
      <c r="J17" s="3"/>
      <c r="K17" s="3"/>
      <c r="L17" s="4"/>
      <c r="M17" s="1"/>
      <c r="N17" s="38" t="s">
        <v>25</v>
      </c>
      <c r="O17" s="3"/>
      <c r="P17" s="3"/>
      <c r="Q17" s="3"/>
      <c r="R17" s="3"/>
      <c r="S17" s="3"/>
      <c r="T17" s="4"/>
      <c r="U17" s="39"/>
      <c r="V17" s="40" t="s">
        <v>133</v>
      </c>
      <c r="W17" s="41"/>
      <c r="X17" s="41"/>
      <c r="Y17" s="41"/>
      <c r="Z17" s="41"/>
      <c r="AA17" s="41"/>
      <c r="AB17" s="42"/>
      <c r="AC17" s="43"/>
      <c r="AD17" s="44"/>
    </row>
    <row r="18">
      <c r="A18" s="1"/>
      <c r="B18" s="6" t="s">
        <v>4</v>
      </c>
      <c r="C18" s="8" t="s">
        <v>5</v>
      </c>
      <c r="D18" s="6" t="s">
        <v>6</v>
      </c>
      <c r="E18" s="6" t="s">
        <v>7</v>
      </c>
      <c r="F18" s="6" t="s">
        <v>8</v>
      </c>
      <c r="G18" s="1"/>
      <c r="H18" s="6" t="s">
        <v>4</v>
      </c>
      <c r="I18" s="8" t="s">
        <v>5</v>
      </c>
      <c r="J18" s="6" t="s">
        <v>6</v>
      </c>
      <c r="K18" s="6" t="s">
        <v>7</v>
      </c>
      <c r="L18" s="6" t="s">
        <v>8</v>
      </c>
      <c r="M18" s="1"/>
      <c r="N18" s="6" t="s">
        <v>4</v>
      </c>
      <c r="O18" s="11" t="s">
        <v>27</v>
      </c>
      <c r="P18" s="45" t="s">
        <v>28</v>
      </c>
      <c r="Q18" s="45" t="s">
        <v>29</v>
      </c>
      <c r="R18" s="45" t="s">
        <v>30</v>
      </c>
      <c r="S18" s="45" t="s">
        <v>31</v>
      </c>
      <c r="T18" s="46" t="s">
        <v>32</v>
      </c>
      <c r="U18" s="47"/>
      <c r="V18" s="48" t="s">
        <v>4</v>
      </c>
      <c r="W18" s="48" t="s">
        <v>27</v>
      </c>
      <c r="X18" s="48" t="s">
        <v>28</v>
      </c>
      <c r="Y18" s="48" t="s">
        <v>29</v>
      </c>
      <c r="Z18" s="48" t="s">
        <v>30</v>
      </c>
      <c r="AA18" s="48" t="s">
        <v>31</v>
      </c>
      <c r="AB18" s="48" t="s">
        <v>32</v>
      </c>
      <c r="AC18" s="49"/>
      <c r="AD18" s="5"/>
    </row>
    <row r="19">
      <c r="A19" s="1"/>
      <c r="B19" s="10">
        <f t="array" ref="B19:B30">SEQUENCE(12,1)</f>
        <v>1</v>
      </c>
      <c r="C19" s="15" t="str">
        <f t="shared" ref="C19:C30" si="8">C4</f>
        <v>FZ</v>
      </c>
      <c r="D19" s="12">
        <v>4.0</v>
      </c>
      <c r="E19" s="12">
        <v>9.0</v>
      </c>
      <c r="F19" s="50">
        <f t="shared" ref="F19:F30" si="9">D19+E19</f>
        <v>13</v>
      </c>
      <c r="G19" s="1"/>
      <c r="H19" s="10">
        <f t="array" ref="H19:H30">SEQUENCE(12,1)</f>
        <v>1</v>
      </c>
      <c r="I19" s="15" t="str">
        <f t="shared" ref="I19:I30" si="10">C4</f>
        <v>FZ</v>
      </c>
      <c r="J19" s="12">
        <v>7.0</v>
      </c>
      <c r="K19" s="12">
        <v>7.0</v>
      </c>
      <c r="L19" s="14">
        <f t="shared" ref="L19:L30" si="11">J19+K19</f>
        <v>14</v>
      </c>
      <c r="M19" s="1"/>
      <c r="N19" s="147">
        <v>1.0</v>
      </c>
      <c r="O19" s="19" t="s">
        <v>134</v>
      </c>
      <c r="P19" s="12">
        <f t="shared" ref="P19:P30" si="12">C46+E46+G46+I46+K46+M46</f>
        <v>3</v>
      </c>
      <c r="Q19" s="52">
        <f t="shared" ref="Q19:Q30" si="13">COUNT(D4,J4,P4,W4,D19,J19)</f>
        <v>6</v>
      </c>
      <c r="R19" s="53">
        <f t="shared" ref="R19:R30" si="14">P4+J4+D4+W4+D19+J19</f>
        <v>54</v>
      </c>
      <c r="S19" s="53">
        <f t="shared" ref="S19:S25" si="15">E4+K4+Q4+X4+E19+K19</f>
        <v>113</v>
      </c>
      <c r="T19" s="54">
        <f t="shared" ref="T19:T30" si="16">R19+S19</f>
        <v>167</v>
      </c>
      <c r="U19" s="47"/>
      <c r="V19" s="55">
        <f t="array" ref="V19:V30">SEQUENCE(12,1)</f>
        <v>1</v>
      </c>
      <c r="W19" s="56" t="str">
        <f t="array" ref="W19:AB30">SORT(O19:T30,6,FALSE,2,FALSE,5,FALSE,4,FALSE)</f>
        <v>FZ CUTIES</v>
      </c>
      <c r="X19" s="56">
        <v>3.0</v>
      </c>
      <c r="Y19" s="56">
        <v>6.0</v>
      </c>
      <c r="Z19" s="57">
        <v>54.0</v>
      </c>
      <c r="AA19" s="57">
        <v>113.0</v>
      </c>
      <c r="AB19" s="58">
        <v>167.0</v>
      </c>
      <c r="AC19" s="49"/>
      <c r="AD19" s="16"/>
    </row>
    <row r="20">
      <c r="A20" s="1"/>
      <c r="B20" s="17">
        <v>2.0</v>
      </c>
      <c r="C20" s="15" t="str">
        <f t="shared" si="8"/>
        <v>RGX</v>
      </c>
      <c r="D20" s="19">
        <v>5.0</v>
      </c>
      <c r="E20" s="19">
        <v>12.0</v>
      </c>
      <c r="F20" s="50">
        <f t="shared" si="9"/>
        <v>17</v>
      </c>
      <c r="G20" s="1"/>
      <c r="H20" s="17">
        <v>2.0</v>
      </c>
      <c r="I20" s="15" t="str">
        <f t="shared" si="10"/>
        <v>RGX</v>
      </c>
      <c r="J20" s="19">
        <v>3.0</v>
      </c>
      <c r="K20" s="19">
        <v>1.0</v>
      </c>
      <c r="L20" s="14">
        <f t="shared" si="11"/>
        <v>4</v>
      </c>
      <c r="M20" s="1"/>
      <c r="N20" s="148">
        <v>2.0</v>
      </c>
      <c r="O20" s="19" t="s">
        <v>135</v>
      </c>
      <c r="P20" s="12">
        <f t="shared" si="12"/>
        <v>0</v>
      </c>
      <c r="Q20" s="52">
        <f t="shared" si="13"/>
        <v>6</v>
      </c>
      <c r="R20" s="53">
        <f t="shared" si="14"/>
        <v>27</v>
      </c>
      <c r="S20" s="53">
        <f t="shared" si="15"/>
        <v>66</v>
      </c>
      <c r="T20" s="54">
        <f t="shared" si="16"/>
        <v>93</v>
      </c>
      <c r="U20" s="47"/>
      <c r="V20" s="60">
        <v>2.0</v>
      </c>
      <c r="W20" s="61" t="s">
        <v>136</v>
      </c>
      <c r="X20" s="61">
        <v>2.0</v>
      </c>
      <c r="Y20" s="61">
        <v>6.0</v>
      </c>
      <c r="Z20" s="62">
        <v>45.0</v>
      </c>
      <c r="AA20" s="62">
        <v>81.0</v>
      </c>
      <c r="AB20" s="63">
        <v>126.0</v>
      </c>
      <c r="AC20" s="49"/>
      <c r="AD20" s="16"/>
    </row>
    <row r="21">
      <c r="A21" s="1"/>
      <c r="B21" s="17">
        <v>3.0</v>
      </c>
      <c r="C21" s="15" t="str">
        <f t="shared" si="8"/>
        <v>NZ</v>
      </c>
      <c r="D21" s="19">
        <v>3.0</v>
      </c>
      <c r="E21" s="19">
        <v>3.0</v>
      </c>
      <c r="F21" s="50">
        <f t="shared" si="9"/>
        <v>6</v>
      </c>
      <c r="G21" s="1"/>
      <c r="H21" s="17">
        <v>3.0</v>
      </c>
      <c r="I21" s="15" t="str">
        <f t="shared" si="10"/>
        <v>NZ</v>
      </c>
      <c r="J21" s="19"/>
      <c r="K21" s="19"/>
      <c r="L21" s="14">
        <f t="shared" si="11"/>
        <v>0</v>
      </c>
      <c r="M21" s="1"/>
      <c r="N21" s="148">
        <v>3.0</v>
      </c>
      <c r="O21" s="19" t="s">
        <v>137</v>
      </c>
      <c r="P21" s="12">
        <f t="shared" si="12"/>
        <v>0</v>
      </c>
      <c r="Q21" s="52">
        <f t="shared" si="13"/>
        <v>5</v>
      </c>
      <c r="R21" s="53">
        <f t="shared" si="14"/>
        <v>17</v>
      </c>
      <c r="S21" s="53">
        <f t="shared" si="15"/>
        <v>29</v>
      </c>
      <c r="T21" s="54">
        <f t="shared" si="16"/>
        <v>46</v>
      </c>
      <c r="U21" s="47"/>
      <c r="V21" s="64">
        <v>3.0</v>
      </c>
      <c r="W21" s="65" t="s">
        <v>138</v>
      </c>
      <c r="X21" s="66">
        <v>1.0</v>
      </c>
      <c r="Y21" s="66">
        <v>6.0</v>
      </c>
      <c r="Z21" s="67">
        <v>48.0</v>
      </c>
      <c r="AA21" s="67">
        <v>62.0</v>
      </c>
      <c r="AB21" s="68">
        <v>110.0</v>
      </c>
      <c r="AC21" s="49"/>
      <c r="AD21" s="16"/>
    </row>
    <row r="22">
      <c r="A22" s="1"/>
      <c r="B22" s="17">
        <v>4.0</v>
      </c>
      <c r="C22" s="15" t="str">
        <f t="shared" si="8"/>
        <v>TE</v>
      </c>
      <c r="D22" s="19">
        <v>12.0</v>
      </c>
      <c r="E22" s="19">
        <v>19.0</v>
      </c>
      <c r="F22" s="50">
        <f t="shared" si="9"/>
        <v>31</v>
      </c>
      <c r="G22" s="1"/>
      <c r="H22" s="17">
        <v>4.0</v>
      </c>
      <c r="I22" s="15" t="str">
        <f t="shared" si="10"/>
        <v>TE</v>
      </c>
      <c r="J22" s="19">
        <v>6.0</v>
      </c>
      <c r="K22" s="19">
        <v>7.0</v>
      </c>
      <c r="L22" s="14">
        <f t="shared" si="11"/>
        <v>13</v>
      </c>
      <c r="M22" s="1"/>
      <c r="N22" s="148">
        <v>4.0</v>
      </c>
      <c r="O22" s="19" t="s">
        <v>138</v>
      </c>
      <c r="P22" s="12">
        <f t="shared" si="12"/>
        <v>1</v>
      </c>
      <c r="Q22" s="52">
        <f t="shared" si="13"/>
        <v>6</v>
      </c>
      <c r="R22" s="53">
        <f t="shared" si="14"/>
        <v>48</v>
      </c>
      <c r="S22" s="53">
        <f t="shared" si="15"/>
        <v>62</v>
      </c>
      <c r="T22" s="54">
        <f t="shared" si="16"/>
        <v>110</v>
      </c>
      <c r="U22" s="47"/>
      <c r="V22" s="69">
        <v>4.0</v>
      </c>
      <c r="W22" s="70" t="s">
        <v>135</v>
      </c>
      <c r="X22" s="71">
        <v>0.0</v>
      </c>
      <c r="Y22" s="71">
        <v>6.0</v>
      </c>
      <c r="Z22" s="72">
        <v>27.0</v>
      </c>
      <c r="AA22" s="72">
        <v>66.0</v>
      </c>
      <c r="AB22" s="73">
        <v>93.0</v>
      </c>
      <c r="AC22" s="49"/>
      <c r="AD22" s="16"/>
    </row>
    <row r="23">
      <c r="A23" s="1"/>
      <c r="B23" s="17">
        <v>5.0</v>
      </c>
      <c r="C23" s="15" t="str">
        <f t="shared" si="8"/>
        <v>CB</v>
      </c>
      <c r="D23" s="19">
        <v>0.0</v>
      </c>
      <c r="E23" s="19">
        <v>0.0</v>
      </c>
      <c r="F23" s="50">
        <f t="shared" si="9"/>
        <v>0</v>
      </c>
      <c r="G23" s="1"/>
      <c r="H23" s="17">
        <v>5.0</v>
      </c>
      <c r="I23" s="15" t="str">
        <f t="shared" si="10"/>
        <v>CB</v>
      </c>
      <c r="J23" s="19"/>
      <c r="K23" s="19"/>
      <c r="L23" s="14">
        <f t="shared" si="11"/>
        <v>0</v>
      </c>
      <c r="M23" s="1"/>
      <c r="N23" s="148">
        <v>5.0</v>
      </c>
      <c r="O23" s="19" t="s">
        <v>139</v>
      </c>
      <c r="P23" s="12">
        <f t="shared" si="12"/>
        <v>0</v>
      </c>
      <c r="Q23" s="52">
        <f t="shared" si="13"/>
        <v>5</v>
      </c>
      <c r="R23" s="53">
        <f t="shared" si="14"/>
        <v>2</v>
      </c>
      <c r="S23" s="53">
        <f t="shared" si="15"/>
        <v>2</v>
      </c>
      <c r="T23" s="54">
        <f t="shared" si="16"/>
        <v>4</v>
      </c>
      <c r="U23" s="47"/>
      <c r="V23" s="74">
        <v>5.0</v>
      </c>
      <c r="W23" s="75" t="s">
        <v>140</v>
      </c>
      <c r="X23" s="76">
        <v>0.0</v>
      </c>
      <c r="Y23" s="76">
        <v>6.0</v>
      </c>
      <c r="Z23" s="77">
        <v>38.0</v>
      </c>
      <c r="AA23" s="77">
        <v>36.0</v>
      </c>
      <c r="AB23" s="78">
        <v>74.0</v>
      </c>
      <c r="AC23" s="49"/>
      <c r="AD23" s="16"/>
    </row>
    <row r="24">
      <c r="A24" s="1"/>
      <c r="B24" s="17">
        <v>6.0</v>
      </c>
      <c r="C24" s="15" t="str">
        <f t="shared" si="8"/>
        <v>CTZ</v>
      </c>
      <c r="D24" s="19">
        <v>8.0</v>
      </c>
      <c r="E24" s="19">
        <v>14.0</v>
      </c>
      <c r="F24" s="50">
        <f t="shared" si="9"/>
        <v>22</v>
      </c>
      <c r="G24" s="1"/>
      <c r="H24" s="17">
        <v>6.0</v>
      </c>
      <c r="I24" s="15" t="str">
        <f t="shared" si="10"/>
        <v>CTZ</v>
      </c>
      <c r="J24" s="19">
        <v>12.0</v>
      </c>
      <c r="K24" s="19">
        <v>21.0</v>
      </c>
      <c r="L24" s="14">
        <f t="shared" si="11"/>
        <v>33</v>
      </c>
      <c r="M24" s="1"/>
      <c r="N24" s="148">
        <v>6.0</v>
      </c>
      <c r="O24" s="19" t="s">
        <v>136</v>
      </c>
      <c r="P24" s="12">
        <f t="shared" si="12"/>
        <v>2</v>
      </c>
      <c r="Q24" s="52">
        <f t="shared" si="13"/>
        <v>6</v>
      </c>
      <c r="R24" s="53">
        <f t="shared" si="14"/>
        <v>45</v>
      </c>
      <c r="S24" s="53">
        <f t="shared" si="15"/>
        <v>81</v>
      </c>
      <c r="T24" s="54">
        <f t="shared" si="16"/>
        <v>126</v>
      </c>
      <c r="U24" s="47"/>
      <c r="V24" s="74">
        <v>6.0</v>
      </c>
      <c r="W24" s="75" t="s">
        <v>141</v>
      </c>
      <c r="X24" s="76">
        <v>0.0</v>
      </c>
      <c r="Y24" s="76">
        <v>6.0</v>
      </c>
      <c r="Z24" s="77">
        <v>24.0</v>
      </c>
      <c r="AA24" s="77">
        <v>40.0</v>
      </c>
      <c r="AB24" s="78">
        <v>64.0</v>
      </c>
      <c r="AC24" s="49"/>
      <c r="AD24" s="16"/>
    </row>
    <row r="25">
      <c r="A25" s="1"/>
      <c r="B25" s="17">
        <v>7.0</v>
      </c>
      <c r="C25" s="15" t="str">
        <f t="shared" si="8"/>
        <v>WNT VAMPIRE</v>
      </c>
      <c r="D25" s="19">
        <v>0.0</v>
      </c>
      <c r="E25" s="19">
        <v>0.0</v>
      </c>
      <c r="F25" s="50">
        <f t="shared" si="9"/>
        <v>0</v>
      </c>
      <c r="G25" s="1"/>
      <c r="H25" s="17">
        <v>7.0</v>
      </c>
      <c r="I25" s="15" t="str">
        <f t="shared" si="10"/>
        <v>WNT VAMPIRE</v>
      </c>
      <c r="J25" s="19"/>
      <c r="K25" s="19"/>
      <c r="L25" s="14">
        <f t="shared" si="11"/>
        <v>0</v>
      </c>
      <c r="M25" s="1"/>
      <c r="N25" s="148">
        <v>7.0</v>
      </c>
      <c r="O25" s="19" t="s">
        <v>142</v>
      </c>
      <c r="P25" s="12">
        <f t="shared" si="12"/>
        <v>0</v>
      </c>
      <c r="Q25" s="52">
        <f t="shared" si="13"/>
        <v>5</v>
      </c>
      <c r="R25" s="53">
        <f t="shared" si="14"/>
        <v>20</v>
      </c>
      <c r="S25" s="53">
        <f t="shared" si="15"/>
        <v>32</v>
      </c>
      <c r="T25" s="54">
        <f t="shared" si="16"/>
        <v>52</v>
      </c>
      <c r="U25" s="47"/>
      <c r="V25" s="79">
        <v>7.0</v>
      </c>
      <c r="W25" s="80" t="s">
        <v>143</v>
      </c>
      <c r="X25" s="81">
        <v>0.0</v>
      </c>
      <c r="Y25" s="81">
        <v>5.0</v>
      </c>
      <c r="Z25" s="82">
        <v>26.0</v>
      </c>
      <c r="AA25" s="82">
        <v>28.0</v>
      </c>
      <c r="AB25" s="83">
        <v>54.0</v>
      </c>
      <c r="AC25" s="49"/>
      <c r="AD25" s="16"/>
    </row>
    <row r="26">
      <c r="A26" s="1"/>
      <c r="B26" s="17">
        <v>8.0</v>
      </c>
      <c r="C26" s="15" t="str">
        <f t="shared" si="8"/>
        <v>EG SHIV YASHVI</v>
      </c>
      <c r="D26" s="19">
        <v>1.0</v>
      </c>
      <c r="E26" s="19">
        <v>8.0</v>
      </c>
      <c r="F26" s="50">
        <f t="shared" si="9"/>
        <v>9</v>
      </c>
      <c r="G26" s="1"/>
      <c r="H26" s="17">
        <v>8.0</v>
      </c>
      <c r="I26" s="15" t="str">
        <f t="shared" si="10"/>
        <v>EG SHIV YASHVI</v>
      </c>
      <c r="J26" s="19">
        <v>8.0</v>
      </c>
      <c r="K26" s="19">
        <v>5.0</v>
      </c>
      <c r="L26" s="14">
        <f t="shared" si="11"/>
        <v>13</v>
      </c>
      <c r="M26" s="1"/>
      <c r="N26" s="148">
        <v>8.0</v>
      </c>
      <c r="O26" s="149" t="s">
        <v>144</v>
      </c>
      <c r="P26" s="12">
        <f t="shared" si="12"/>
        <v>0</v>
      </c>
      <c r="Q26" s="52">
        <f t="shared" si="13"/>
        <v>6</v>
      </c>
      <c r="R26" s="53">
        <f t="shared" si="14"/>
        <v>21</v>
      </c>
      <c r="S26" s="53">
        <f>K11+Q11+X11+E26+K26+E11</f>
        <v>30</v>
      </c>
      <c r="T26" s="54">
        <f t="shared" si="16"/>
        <v>51</v>
      </c>
      <c r="U26" s="47"/>
      <c r="V26" s="85">
        <v>8.0</v>
      </c>
      <c r="W26" s="86" t="s">
        <v>142</v>
      </c>
      <c r="X26" s="87">
        <v>0.0</v>
      </c>
      <c r="Y26" s="87">
        <v>5.0</v>
      </c>
      <c r="Z26" s="88">
        <v>20.0</v>
      </c>
      <c r="AA26" s="88">
        <v>32.0</v>
      </c>
      <c r="AB26" s="89">
        <v>52.0</v>
      </c>
      <c r="AC26" s="49"/>
    </row>
    <row r="27">
      <c r="A27" s="1"/>
      <c r="B27" s="17">
        <v>9.0</v>
      </c>
      <c r="C27" s="15" t="str">
        <f t="shared" si="8"/>
        <v>RNX</v>
      </c>
      <c r="D27" s="19">
        <v>6.0</v>
      </c>
      <c r="E27" s="19">
        <v>14.0</v>
      </c>
      <c r="F27" s="50">
        <f t="shared" si="9"/>
        <v>20</v>
      </c>
      <c r="G27" s="1"/>
      <c r="H27" s="17">
        <v>9.0</v>
      </c>
      <c r="I27" s="11" t="str">
        <f t="shared" si="10"/>
        <v>RNX</v>
      </c>
      <c r="J27" s="19">
        <v>5.0</v>
      </c>
      <c r="K27" s="19">
        <v>5.0</v>
      </c>
      <c r="L27" s="14">
        <f t="shared" si="11"/>
        <v>10</v>
      </c>
      <c r="M27" s="1"/>
      <c r="N27" s="148">
        <v>9.0</v>
      </c>
      <c r="O27" s="19" t="s">
        <v>141</v>
      </c>
      <c r="P27" s="12">
        <f t="shared" si="12"/>
        <v>0</v>
      </c>
      <c r="Q27" s="52">
        <f t="shared" si="13"/>
        <v>6</v>
      </c>
      <c r="R27" s="53">
        <f t="shared" si="14"/>
        <v>24</v>
      </c>
      <c r="S27" s="53">
        <f t="shared" ref="S27:S30" si="17">E12+K12+Q12+X12+E27+K27</f>
        <v>40</v>
      </c>
      <c r="T27" s="54">
        <f t="shared" si="16"/>
        <v>64</v>
      </c>
      <c r="U27" s="47"/>
      <c r="V27" s="90">
        <v>9.0</v>
      </c>
      <c r="W27" s="91" t="s">
        <v>144</v>
      </c>
      <c r="X27" s="92">
        <v>0.0</v>
      </c>
      <c r="Y27" s="92">
        <v>6.0</v>
      </c>
      <c r="Z27" s="93">
        <v>21.0</v>
      </c>
      <c r="AA27" s="93">
        <v>30.0</v>
      </c>
      <c r="AB27" s="94">
        <v>51.0</v>
      </c>
      <c r="AC27" s="49"/>
    </row>
    <row r="28">
      <c r="A28" s="1"/>
      <c r="B28" s="17">
        <v>10.0</v>
      </c>
      <c r="C28" s="15" t="str">
        <f t="shared" si="8"/>
        <v>GN AES KISHMISSH</v>
      </c>
      <c r="D28" s="19">
        <v>9.0</v>
      </c>
      <c r="E28" s="19">
        <v>11.0</v>
      </c>
      <c r="F28" s="50">
        <f t="shared" si="9"/>
        <v>20</v>
      </c>
      <c r="G28" s="1"/>
      <c r="H28" s="17">
        <v>10.0</v>
      </c>
      <c r="I28" s="15" t="str">
        <f t="shared" si="10"/>
        <v>GN AES KISHMISSH</v>
      </c>
      <c r="J28" s="19">
        <v>4.0</v>
      </c>
      <c r="K28" s="19">
        <v>1.0</v>
      </c>
      <c r="L28" s="14">
        <f t="shared" si="11"/>
        <v>5</v>
      </c>
      <c r="M28" s="1"/>
      <c r="N28" s="148">
        <v>10.0</v>
      </c>
      <c r="O28" s="19" t="s">
        <v>140</v>
      </c>
      <c r="P28" s="12">
        <f t="shared" si="12"/>
        <v>0</v>
      </c>
      <c r="Q28" s="52">
        <f t="shared" si="13"/>
        <v>6</v>
      </c>
      <c r="R28" s="53">
        <f t="shared" si="14"/>
        <v>38</v>
      </c>
      <c r="S28" s="53">
        <f t="shared" si="17"/>
        <v>36</v>
      </c>
      <c r="T28" s="54">
        <f t="shared" si="16"/>
        <v>74</v>
      </c>
      <c r="U28" s="47"/>
      <c r="V28" s="90">
        <v>10.0</v>
      </c>
      <c r="W28" s="91" t="s">
        <v>137</v>
      </c>
      <c r="X28" s="92">
        <v>0.0</v>
      </c>
      <c r="Y28" s="92">
        <v>5.0</v>
      </c>
      <c r="Z28" s="93">
        <v>17.0</v>
      </c>
      <c r="AA28" s="93">
        <v>29.0</v>
      </c>
      <c r="AB28" s="94">
        <v>46.0</v>
      </c>
      <c r="AC28" s="49"/>
    </row>
    <row r="29">
      <c r="A29" s="1"/>
      <c r="B29" s="17">
        <v>11.0</v>
      </c>
      <c r="C29" s="15" t="str">
        <f t="shared" si="8"/>
        <v>CNX</v>
      </c>
      <c r="D29" s="19">
        <v>2.0</v>
      </c>
      <c r="E29" s="19">
        <v>2.0</v>
      </c>
      <c r="F29" s="50">
        <f t="shared" si="9"/>
        <v>4</v>
      </c>
      <c r="G29" s="1"/>
      <c r="H29" s="17">
        <v>11.0</v>
      </c>
      <c r="I29" s="15" t="str">
        <f t="shared" si="10"/>
        <v>CNX</v>
      </c>
      <c r="J29" s="19">
        <v>9.0</v>
      </c>
      <c r="K29" s="19">
        <v>10.0</v>
      </c>
      <c r="L29" s="14">
        <f t="shared" si="11"/>
        <v>19</v>
      </c>
      <c r="M29" s="1"/>
      <c r="N29" s="148">
        <v>11.0</v>
      </c>
      <c r="O29" s="150" t="s">
        <v>145</v>
      </c>
      <c r="P29" s="12">
        <f t="shared" si="12"/>
        <v>0</v>
      </c>
      <c r="Q29" s="52">
        <f t="shared" si="13"/>
        <v>6</v>
      </c>
      <c r="R29" s="53">
        <f t="shared" si="14"/>
        <v>17</v>
      </c>
      <c r="S29" s="53">
        <f t="shared" si="17"/>
        <v>24</v>
      </c>
      <c r="T29" s="54">
        <f t="shared" si="16"/>
        <v>41</v>
      </c>
      <c r="U29" s="47"/>
      <c r="V29" s="90">
        <v>11.0</v>
      </c>
      <c r="W29" s="91" t="s">
        <v>145</v>
      </c>
      <c r="X29" s="92">
        <v>0.0</v>
      </c>
      <c r="Y29" s="92">
        <v>6.0</v>
      </c>
      <c r="Z29" s="93">
        <v>17.0</v>
      </c>
      <c r="AA29" s="93">
        <v>24.0</v>
      </c>
      <c r="AB29" s="94">
        <v>41.0</v>
      </c>
      <c r="AC29" s="49"/>
      <c r="AD29" s="16"/>
    </row>
    <row r="30">
      <c r="A30" s="1"/>
      <c r="B30" s="27">
        <v>12.0</v>
      </c>
      <c r="C30" s="32" t="str">
        <f t="shared" si="8"/>
        <v>KAASH LIVE EG</v>
      </c>
      <c r="D30" s="29">
        <v>7.0</v>
      </c>
      <c r="E30" s="29">
        <v>15.0</v>
      </c>
      <c r="F30" s="151">
        <f t="shared" si="9"/>
        <v>22</v>
      </c>
      <c r="G30" s="1"/>
      <c r="H30" s="27">
        <v>12.0</v>
      </c>
      <c r="I30" s="32" t="str">
        <f t="shared" si="10"/>
        <v>KAASH LIVE EG</v>
      </c>
      <c r="J30" s="29"/>
      <c r="K30" s="29"/>
      <c r="L30" s="152">
        <f t="shared" si="11"/>
        <v>0</v>
      </c>
      <c r="M30" s="1"/>
      <c r="N30" s="153">
        <v>12.0</v>
      </c>
      <c r="O30" s="145" t="s">
        <v>143</v>
      </c>
      <c r="P30" s="12">
        <f t="shared" si="12"/>
        <v>0</v>
      </c>
      <c r="Q30" s="52">
        <f t="shared" si="13"/>
        <v>5</v>
      </c>
      <c r="R30" s="53">
        <f t="shared" si="14"/>
        <v>26</v>
      </c>
      <c r="S30" s="53">
        <f t="shared" si="17"/>
        <v>28</v>
      </c>
      <c r="T30" s="99">
        <f t="shared" si="16"/>
        <v>54</v>
      </c>
      <c r="U30" s="47"/>
      <c r="V30" s="100">
        <v>12.0</v>
      </c>
      <c r="W30" s="101" t="s">
        <v>139</v>
      </c>
      <c r="X30" s="102">
        <v>0.0</v>
      </c>
      <c r="Y30" s="102">
        <v>5.0</v>
      </c>
      <c r="Z30" s="103">
        <v>2.0</v>
      </c>
      <c r="AA30" s="103">
        <v>2.0</v>
      </c>
      <c r="AB30" s="104">
        <v>4.0</v>
      </c>
      <c r="AC30" s="105"/>
      <c r="AD30" s="16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06"/>
      <c r="V31" s="107"/>
      <c r="W31" s="108"/>
      <c r="X31" s="108"/>
      <c r="Y31" s="108"/>
      <c r="Z31" s="108"/>
      <c r="AA31" s="108"/>
      <c r="AB31" s="108"/>
      <c r="AC31" s="105"/>
      <c r="AD31" s="1"/>
    </row>
    <row r="32">
      <c r="A32" s="1"/>
      <c r="B32" s="5"/>
      <c r="C32" s="5"/>
      <c r="D32" s="5"/>
      <c r="E32" s="5"/>
      <c r="F32" s="16"/>
      <c r="G32" s="1"/>
      <c r="H32" s="109"/>
      <c r="I32" s="109"/>
      <c r="J32" s="109"/>
      <c r="K32" s="109"/>
      <c r="L32" s="109"/>
      <c r="M32" s="1"/>
      <c r="N32" s="1"/>
      <c r="O32" s="1"/>
      <c r="P32" s="9"/>
      <c r="Q32" s="9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1"/>
      <c r="B33" s="9"/>
      <c r="C33" s="9" t="s">
        <v>45</v>
      </c>
      <c r="D33" s="9"/>
      <c r="E33" s="9"/>
      <c r="F33" s="9"/>
      <c r="G33" s="110"/>
      <c r="H33" s="9"/>
      <c r="I33" s="9"/>
      <c r="J33" s="9"/>
      <c r="K33" s="9"/>
      <c r="L33" s="9"/>
      <c r="M33" s="110"/>
      <c r="N33" s="1"/>
      <c r="O33" s="1"/>
      <c r="P33" s="9"/>
      <c r="Q33" s="9"/>
      <c r="R33" s="1"/>
      <c r="S33" s="1"/>
      <c r="T33" s="1"/>
      <c r="U33" s="1"/>
      <c r="V33" s="1"/>
      <c r="W33" s="1"/>
      <c r="X33" s="1"/>
      <c r="Y33" s="1"/>
      <c r="Z33" s="1"/>
      <c r="AA33" s="26" t="s">
        <v>146</v>
      </c>
      <c r="AB33" s="5" t="s">
        <v>147</v>
      </c>
      <c r="AC33" s="1"/>
      <c r="AD33" s="1"/>
    </row>
    <row r="34">
      <c r="A34" s="1"/>
      <c r="B34" s="9" t="s">
        <v>0</v>
      </c>
      <c r="C34" s="9">
        <f t="shared" ref="C34:C45" si="18">IFS(D4=0,0,D4=1,12,D4=2,9,D4=3,8,D4=4,7,D4=5,6,D4=6,5,D4=7,4,D4=8,3,D4=9,2,D4=10,1,D4=11,0,D4=12,0,D4=0,0)</f>
        <v>0</v>
      </c>
      <c r="D34" s="9" t="s">
        <v>1</v>
      </c>
      <c r="E34" s="9">
        <f t="shared" ref="E34:E45" si="19">IFS(J4=0,0,J4=1,12,J4=2,9,J4=3,8,J4=4,7,J4=5,6,J4=6,5,J4=7,4,J4=8,3,J4=9,2,J4=10,1,J4=11,0,J4=12,0,J4=0,0)</f>
        <v>4</v>
      </c>
      <c r="F34" s="9" t="s">
        <v>2</v>
      </c>
      <c r="G34" s="110">
        <f t="shared" ref="G34:G45" si="20">IFS(P4=0,0,P4=1,12,P4=2,9,P4=3,8,P4=4,7,P4=5,6,P4=6,5,P4=7,4,P4=8,3,P4=9,2,P4=10,1,P4=11,0,P4=12,0,P4=0,0)</f>
        <v>0</v>
      </c>
      <c r="H34" s="9" t="s">
        <v>3</v>
      </c>
      <c r="I34" s="110">
        <f t="shared" ref="I34:I45" si="21">IFS(W4=0,0,W4=1,12,W4=2,9,W4=3,8,W4=4,7,W4=5,6,W4=6,5,W4=7,4,W4=8,3,W4=9,2,W4=10,1,W4=11,0,W4=12,0,W4=0,0)</f>
        <v>0</v>
      </c>
      <c r="J34" s="9" t="s">
        <v>23</v>
      </c>
      <c r="K34" s="110">
        <f t="shared" ref="K34:K45" si="22">IFS(D19=0,0,D19=1,12,D19=2,9,D19=3,8,D19=4,7,D19=5,6,D19=6,5,D19=7,4,D19=8,3,D19=9,2,D19=10,1,D19=11,0,D19=12,0,D19=0,0)</f>
        <v>7</v>
      </c>
      <c r="L34" s="9" t="s">
        <v>24</v>
      </c>
      <c r="M34" s="110">
        <f t="shared" ref="M34:M45" si="23">IFS(J19=0,0,J19=1,12,J19=2,9,J19=3,8,J19=4,7,J19=5,6,J19=6,5,J19=7,4,J19=8,3,J19=9,2,J19=10,1,J19=11,0,J19=12,0,J19=0,0)</f>
        <v>4</v>
      </c>
      <c r="N34" s="1"/>
      <c r="O34" s="1"/>
      <c r="P34" s="9"/>
      <c r="Q34" s="9"/>
      <c r="R34" s="1"/>
      <c r="S34" s="1"/>
      <c r="T34" s="1"/>
      <c r="U34" s="1"/>
      <c r="V34" s="1"/>
      <c r="W34" s="1"/>
      <c r="X34" s="1"/>
      <c r="Y34" s="1"/>
      <c r="Z34" s="1"/>
      <c r="AA34" s="26" t="s">
        <v>148</v>
      </c>
      <c r="AB34" s="5" t="s">
        <v>149</v>
      </c>
      <c r="AC34" s="1"/>
      <c r="AD34" s="1"/>
    </row>
    <row r="35">
      <c r="A35" s="1"/>
      <c r="B35" s="110"/>
      <c r="C35" s="9">
        <f t="shared" si="18"/>
        <v>3</v>
      </c>
      <c r="D35" s="9"/>
      <c r="E35" s="9">
        <f t="shared" si="19"/>
        <v>8</v>
      </c>
      <c r="F35" s="110"/>
      <c r="G35" s="110">
        <f t="shared" si="20"/>
        <v>4</v>
      </c>
      <c r="H35" s="110"/>
      <c r="I35" s="110">
        <f t="shared" si="21"/>
        <v>12</v>
      </c>
      <c r="J35" s="110"/>
      <c r="K35" s="110">
        <f t="shared" si="22"/>
        <v>6</v>
      </c>
      <c r="L35" s="110"/>
      <c r="M35" s="110">
        <f t="shared" si="23"/>
        <v>8</v>
      </c>
      <c r="N35" s="1"/>
      <c r="O35" s="1"/>
      <c r="P35" s="9"/>
      <c r="Q35" s="9"/>
      <c r="R35" s="1"/>
      <c r="S35" s="1"/>
      <c r="T35" s="1"/>
      <c r="U35" s="1"/>
      <c r="V35" s="5"/>
      <c r="W35" s="5"/>
      <c r="X35" s="1"/>
      <c r="Y35" s="1"/>
      <c r="Z35" s="1"/>
      <c r="AA35" s="26" t="s">
        <v>150</v>
      </c>
      <c r="AB35" s="5" t="s">
        <v>151</v>
      </c>
      <c r="AC35" s="1"/>
      <c r="AD35" s="1"/>
    </row>
    <row r="36">
      <c r="A36" s="1"/>
      <c r="B36" s="110"/>
      <c r="C36" s="9">
        <f t="shared" si="18"/>
        <v>8</v>
      </c>
      <c r="D36" s="9"/>
      <c r="E36" s="9">
        <f t="shared" si="19"/>
        <v>5</v>
      </c>
      <c r="F36" s="110"/>
      <c r="G36" s="110">
        <f t="shared" si="20"/>
        <v>6</v>
      </c>
      <c r="H36" s="110"/>
      <c r="I36" s="110">
        <f t="shared" si="21"/>
        <v>0</v>
      </c>
      <c r="J36" s="110"/>
      <c r="K36" s="110">
        <f t="shared" si="22"/>
        <v>8</v>
      </c>
      <c r="L36" s="110"/>
      <c r="M36" s="110">
        <f t="shared" si="23"/>
        <v>0</v>
      </c>
      <c r="N36" s="1"/>
      <c r="O36" s="1"/>
      <c r="P36" s="9"/>
      <c r="Q36" s="9"/>
      <c r="R36" s="1"/>
      <c r="S36" s="1"/>
      <c r="T36" s="1"/>
      <c r="U36" s="1"/>
      <c r="V36" s="5"/>
      <c r="W36" s="5"/>
      <c r="X36" s="1"/>
      <c r="Y36" s="1"/>
      <c r="Z36" s="1"/>
      <c r="AA36" s="26" t="s">
        <v>152</v>
      </c>
      <c r="AB36" s="5" t="s">
        <v>153</v>
      </c>
      <c r="AC36" s="1"/>
      <c r="AD36" s="1"/>
    </row>
    <row r="37">
      <c r="A37" s="1"/>
      <c r="B37" s="110"/>
      <c r="C37" s="9">
        <f t="shared" si="18"/>
        <v>2</v>
      </c>
      <c r="D37" s="9"/>
      <c r="E37" s="9">
        <f t="shared" si="19"/>
        <v>2</v>
      </c>
      <c r="F37" s="110"/>
      <c r="G37" s="110">
        <f t="shared" si="20"/>
        <v>2</v>
      </c>
      <c r="H37" s="110"/>
      <c r="I37" s="110">
        <f t="shared" si="21"/>
        <v>8</v>
      </c>
      <c r="J37" s="110"/>
      <c r="K37" s="110">
        <f t="shared" si="22"/>
        <v>0</v>
      </c>
      <c r="L37" s="110"/>
      <c r="M37" s="110">
        <f t="shared" si="23"/>
        <v>5</v>
      </c>
      <c r="N37" s="1"/>
      <c r="O37" s="1"/>
      <c r="P37" s="9"/>
      <c r="Q37" s="9"/>
      <c r="R37" s="1"/>
      <c r="S37" s="1"/>
      <c r="T37" s="1"/>
      <c r="U37" s="1"/>
      <c r="V37" s="5"/>
      <c r="W37" s="5"/>
      <c r="X37" s="1"/>
      <c r="Y37" s="1"/>
      <c r="Z37" s="1"/>
      <c r="AA37" s="26" t="s">
        <v>154</v>
      </c>
      <c r="AB37" s="5" t="s">
        <v>155</v>
      </c>
      <c r="AC37" s="1"/>
      <c r="AD37" s="1"/>
    </row>
    <row r="38">
      <c r="A38" s="1"/>
      <c r="B38" s="110"/>
      <c r="C38" s="9">
        <f t="shared" si="18"/>
        <v>12</v>
      </c>
      <c r="D38" s="9"/>
      <c r="E38" s="9">
        <f t="shared" si="19"/>
        <v>12</v>
      </c>
      <c r="F38" s="110"/>
      <c r="G38" s="110">
        <f t="shared" si="20"/>
        <v>0</v>
      </c>
      <c r="H38" s="110"/>
      <c r="I38" s="110">
        <f t="shared" si="21"/>
        <v>0</v>
      </c>
      <c r="J38" s="110"/>
      <c r="K38" s="110">
        <f t="shared" si="22"/>
        <v>0</v>
      </c>
      <c r="L38" s="110"/>
      <c r="M38" s="110">
        <f t="shared" si="23"/>
        <v>0</v>
      </c>
      <c r="N38" s="1"/>
      <c r="O38" s="1"/>
      <c r="P38" s="9"/>
      <c r="Q38" s="9"/>
      <c r="R38" s="1"/>
      <c r="S38" s="1"/>
      <c r="T38" s="1"/>
      <c r="U38" s="1"/>
      <c r="V38" s="5"/>
      <c r="W38" s="13"/>
      <c r="X38" s="1"/>
      <c r="Y38" s="1"/>
      <c r="Z38" s="1"/>
      <c r="AA38" s="26" t="s">
        <v>119</v>
      </c>
      <c r="AB38" s="5" t="s">
        <v>120</v>
      </c>
      <c r="AC38" s="1"/>
      <c r="AD38" s="1"/>
    </row>
    <row r="39">
      <c r="A39" s="1"/>
      <c r="B39" s="110"/>
      <c r="C39" s="9">
        <f t="shared" si="18"/>
        <v>0</v>
      </c>
      <c r="D39" s="9"/>
      <c r="E39" s="9">
        <f t="shared" si="19"/>
        <v>0</v>
      </c>
      <c r="F39" s="110"/>
      <c r="G39" s="110">
        <f t="shared" si="20"/>
        <v>3</v>
      </c>
      <c r="H39" s="110"/>
      <c r="I39" s="110">
        <f t="shared" si="21"/>
        <v>6</v>
      </c>
      <c r="J39" s="110"/>
      <c r="K39" s="110">
        <f t="shared" si="22"/>
        <v>3</v>
      </c>
      <c r="L39" s="110"/>
      <c r="M39" s="110">
        <f t="shared" si="23"/>
        <v>0</v>
      </c>
      <c r="N39" s="1"/>
      <c r="O39" s="1"/>
      <c r="P39" s="9"/>
      <c r="Q39" s="9"/>
      <c r="R39" s="1"/>
      <c r="S39" s="1"/>
      <c r="T39" s="1"/>
      <c r="U39" s="1"/>
      <c r="V39" s="16"/>
      <c r="W39" s="5"/>
      <c r="X39" s="5"/>
      <c r="Y39" s="1"/>
      <c r="Z39" s="1"/>
      <c r="AA39" s="1"/>
      <c r="AB39" s="1"/>
      <c r="AC39" s="1"/>
      <c r="AD39" s="1"/>
    </row>
    <row r="40">
      <c r="A40" s="1"/>
      <c r="B40" s="110"/>
      <c r="C40" s="9">
        <f t="shared" si="18"/>
        <v>5</v>
      </c>
      <c r="D40" s="9"/>
      <c r="E40" s="9">
        <f t="shared" si="19"/>
        <v>9</v>
      </c>
      <c r="F40" s="110"/>
      <c r="G40" s="110">
        <f t="shared" si="20"/>
        <v>8</v>
      </c>
      <c r="H40" s="110"/>
      <c r="I40" s="110">
        <f t="shared" si="21"/>
        <v>2</v>
      </c>
      <c r="J40" s="110"/>
      <c r="K40" s="110">
        <f t="shared" si="22"/>
        <v>0</v>
      </c>
      <c r="L40" s="110"/>
      <c r="M40" s="110">
        <f t="shared" si="23"/>
        <v>0</v>
      </c>
      <c r="N40" s="1"/>
      <c r="O40" s="1"/>
      <c r="P40" s="9"/>
      <c r="Q40" s="9"/>
      <c r="R40" s="1"/>
      <c r="S40" s="1"/>
      <c r="T40" s="1"/>
      <c r="U40" s="1"/>
      <c r="V40" s="16"/>
      <c r="W40" s="5"/>
      <c r="X40" s="5"/>
      <c r="Y40" s="1"/>
      <c r="Z40" s="1"/>
      <c r="AA40" s="1"/>
      <c r="AB40" s="1"/>
      <c r="AC40" s="1"/>
      <c r="AD40" s="1"/>
    </row>
    <row r="41">
      <c r="A41" s="1"/>
      <c r="B41" s="110"/>
      <c r="C41" s="9">
        <f t="shared" si="18"/>
        <v>9</v>
      </c>
      <c r="D41" s="9"/>
      <c r="E41" s="9">
        <f t="shared" si="19"/>
        <v>0</v>
      </c>
      <c r="F41" s="110"/>
      <c r="G41" s="110">
        <f t="shared" si="20"/>
        <v>9</v>
      </c>
      <c r="H41" s="110"/>
      <c r="I41" s="110">
        <f t="shared" si="21"/>
        <v>3</v>
      </c>
      <c r="J41" s="110"/>
      <c r="K41" s="110">
        <f t="shared" si="22"/>
        <v>12</v>
      </c>
      <c r="L41" s="110"/>
      <c r="M41" s="110">
        <f t="shared" si="23"/>
        <v>3</v>
      </c>
      <c r="N41" s="1"/>
      <c r="O41" s="1"/>
      <c r="P41" s="9"/>
      <c r="Q41" s="9"/>
      <c r="R41" s="1"/>
      <c r="S41" s="1"/>
      <c r="T41" s="1"/>
      <c r="U41" s="1"/>
      <c r="V41" s="16"/>
      <c r="W41" s="5"/>
      <c r="X41" s="5"/>
      <c r="Y41" s="1"/>
      <c r="Z41" s="1"/>
      <c r="AA41" s="1"/>
      <c r="AB41" s="1"/>
      <c r="AC41" s="1"/>
      <c r="AD41" s="1"/>
    </row>
    <row r="42">
      <c r="A42" s="1"/>
      <c r="B42" s="110"/>
      <c r="C42" s="9">
        <f t="shared" si="18"/>
        <v>0</v>
      </c>
      <c r="D42" s="9"/>
      <c r="E42" s="9">
        <f t="shared" si="19"/>
        <v>6</v>
      </c>
      <c r="F42" s="110"/>
      <c r="G42" s="110">
        <f t="shared" si="20"/>
        <v>12</v>
      </c>
      <c r="H42" s="110"/>
      <c r="I42" s="110">
        <f t="shared" si="21"/>
        <v>4</v>
      </c>
      <c r="J42" s="110"/>
      <c r="K42" s="110">
        <f t="shared" si="22"/>
        <v>5</v>
      </c>
      <c r="L42" s="110"/>
      <c r="M42" s="110">
        <f t="shared" si="23"/>
        <v>6</v>
      </c>
      <c r="N42" s="1"/>
      <c r="O42" s="1"/>
      <c r="P42" s="9"/>
      <c r="Q42" s="9"/>
      <c r="R42" s="1"/>
      <c r="S42" s="1"/>
      <c r="T42" s="1"/>
      <c r="U42" s="1"/>
      <c r="V42" s="16"/>
      <c r="W42" s="13"/>
      <c r="X42" s="5"/>
      <c r="Y42" s="1"/>
      <c r="Z42" s="1"/>
      <c r="AA42" s="1"/>
      <c r="AB42" s="1"/>
      <c r="AC42" s="1"/>
      <c r="AD42" s="1"/>
    </row>
    <row r="43">
      <c r="A43" s="1"/>
      <c r="B43" s="110"/>
      <c r="C43" s="9">
        <f t="shared" si="18"/>
        <v>6</v>
      </c>
      <c r="D43" s="9"/>
      <c r="E43" s="9">
        <f t="shared" si="19"/>
        <v>3</v>
      </c>
      <c r="F43" s="110"/>
      <c r="G43" s="110">
        <f t="shared" si="20"/>
        <v>5</v>
      </c>
      <c r="H43" s="110"/>
      <c r="I43" s="110">
        <f t="shared" si="21"/>
        <v>5</v>
      </c>
      <c r="J43" s="110"/>
      <c r="K43" s="110">
        <f t="shared" si="22"/>
        <v>2</v>
      </c>
      <c r="L43" s="110"/>
      <c r="M43" s="110">
        <f t="shared" si="23"/>
        <v>7</v>
      </c>
      <c r="N43" s="1"/>
      <c r="O43" s="1"/>
      <c r="P43" s="9"/>
      <c r="Q43" s="9"/>
      <c r="R43" s="1"/>
      <c r="S43" s="1"/>
      <c r="T43" s="1"/>
      <c r="U43" s="1"/>
      <c r="V43" s="16"/>
      <c r="W43" s="5"/>
      <c r="X43" s="5"/>
      <c r="Y43" s="1"/>
      <c r="Z43" s="1"/>
      <c r="AA43" s="1"/>
      <c r="AB43" s="1"/>
      <c r="AC43" s="1"/>
      <c r="AD43" s="1"/>
    </row>
    <row r="44">
      <c r="A44" s="1"/>
      <c r="B44" s="110"/>
      <c r="C44" s="110">
        <f t="shared" si="18"/>
        <v>7</v>
      </c>
      <c r="D44" s="110"/>
      <c r="E44" s="110">
        <f t="shared" si="19"/>
        <v>0</v>
      </c>
      <c r="F44" s="110"/>
      <c r="G44" s="110">
        <f t="shared" si="20"/>
        <v>0</v>
      </c>
      <c r="H44" s="110"/>
      <c r="I44" s="110">
        <f t="shared" si="21"/>
        <v>9</v>
      </c>
      <c r="J44" s="110"/>
      <c r="K44" s="110">
        <f t="shared" si="22"/>
        <v>9</v>
      </c>
      <c r="L44" s="110"/>
      <c r="M44" s="110">
        <f t="shared" si="23"/>
        <v>2</v>
      </c>
      <c r="N44" s="1"/>
      <c r="O44" s="1"/>
      <c r="P44" s="1"/>
      <c r="Q44" s="1"/>
      <c r="R44" s="1"/>
      <c r="S44" s="1"/>
      <c r="T44" s="1"/>
      <c r="U44" s="1"/>
      <c r="V44" s="16"/>
      <c r="W44" s="5"/>
      <c r="X44" s="5"/>
      <c r="Y44" s="1"/>
      <c r="Z44" s="1"/>
      <c r="AA44" s="1"/>
      <c r="AB44" s="1"/>
      <c r="AC44" s="1"/>
      <c r="AD44" s="1"/>
    </row>
    <row r="45">
      <c r="A45" s="1"/>
      <c r="B45" s="110"/>
      <c r="C45" s="110">
        <f t="shared" si="18"/>
        <v>4</v>
      </c>
      <c r="D45" s="110"/>
      <c r="E45" s="110">
        <f t="shared" si="19"/>
        <v>7</v>
      </c>
      <c r="F45" s="110"/>
      <c r="G45" s="110">
        <f t="shared" si="20"/>
        <v>7</v>
      </c>
      <c r="H45" s="110"/>
      <c r="I45" s="110">
        <f t="shared" si="21"/>
        <v>7</v>
      </c>
      <c r="J45" s="110"/>
      <c r="K45" s="110">
        <f t="shared" si="22"/>
        <v>4</v>
      </c>
      <c r="L45" s="110"/>
      <c r="M45" s="110">
        <f t="shared" si="23"/>
        <v>0</v>
      </c>
      <c r="N45" s="1"/>
      <c r="O45" s="1"/>
      <c r="P45" s="1"/>
      <c r="Q45" s="1"/>
      <c r="R45" s="1"/>
      <c r="S45" s="1"/>
      <c r="T45" s="1"/>
      <c r="U45" s="1"/>
      <c r="V45" s="16"/>
      <c r="W45" s="5"/>
      <c r="X45" s="5"/>
      <c r="Y45" s="1"/>
      <c r="Z45" s="1"/>
      <c r="AA45" s="1"/>
      <c r="AB45" s="1"/>
      <c r="AC45" s="1"/>
      <c r="AD45" s="1"/>
    </row>
    <row r="46">
      <c r="A46" s="1"/>
      <c r="B46" s="9" t="s">
        <v>28</v>
      </c>
      <c r="C46" s="110">
        <f t="shared" ref="C46:C57" si="24">COUNTIF(D4,"=12")</f>
        <v>1</v>
      </c>
      <c r="D46" s="110"/>
      <c r="E46" s="110">
        <f t="shared" ref="E46:E57" si="25">COUNTIF(J4,"=12")</f>
        <v>0</v>
      </c>
      <c r="F46" s="110"/>
      <c r="G46" s="110">
        <f t="shared" ref="G46:G58" si="26">COUNTIF(P4,"=12")</f>
        <v>1</v>
      </c>
      <c r="H46" s="110"/>
      <c r="I46" s="110">
        <f t="shared" ref="I46:I57" si="27">COUNTIF(W4,"=12")</f>
        <v>1</v>
      </c>
      <c r="J46" s="110"/>
      <c r="K46" s="110">
        <f t="shared" ref="K46:K57" si="28">COUNTIF(D19,"=12")</f>
        <v>0</v>
      </c>
      <c r="L46" s="110"/>
      <c r="M46" s="110">
        <f t="shared" ref="M46:M57" si="29">COUNTIF(J19,"=12")</f>
        <v>0</v>
      </c>
      <c r="N46" s="1"/>
      <c r="O46" s="1"/>
      <c r="P46" s="1"/>
      <c r="Q46" s="1"/>
      <c r="R46" s="1"/>
      <c r="S46" s="1"/>
      <c r="T46" s="1"/>
      <c r="U46" s="1"/>
      <c r="V46" s="16"/>
      <c r="W46" s="5"/>
      <c r="X46" s="154"/>
      <c r="Y46" s="1"/>
      <c r="Z46" s="1"/>
      <c r="AA46" s="1"/>
      <c r="AB46" s="1"/>
      <c r="AC46" s="1"/>
      <c r="AD46" s="1"/>
    </row>
    <row r="47">
      <c r="A47" s="1"/>
      <c r="B47" s="110"/>
      <c r="C47" s="110">
        <f t="shared" si="24"/>
        <v>0</v>
      </c>
      <c r="D47" s="110"/>
      <c r="E47" s="110">
        <f t="shared" si="25"/>
        <v>0</v>
      </c>
      <c r="F47" s="110"/>
      <c r="G47" s="110">
        <f t="shared" si="26"/>
        <v>0</v>
      </c>
      <c r="H47" s="110"/>
      <c r="I47" s="110">
        <f t="shared" si="27"/>
        <v>0</v>
      </c>
      <c r="J47" s="110"/>
      <c r="K47" s="110">
        <f t="shared" si="28"/>
        <v>0</v>
      </c>
      <c r="L47" s="110"/>
      <c r="M47" s="110">
        <f t="shared" si="29"/>
        <v>0</v>
      </c>
      <c r="N47" s="1"/>
      <c r="O47" s="1"/>
      <c r="P47" s="1"/>
      <c r="Q47" s="1"/>
      <c r="R47" s="1"/>
      <c r="S47" s="1"/>
      <c r="T47" s="1"/>
      <c r="U47" s="1"/>
      <c r="V47" s="16"/>
      <c r="W47" s="5"/>
      <c r="X47" s="5"/>
      <c r="Y47" s="1"/>
      <c r="Z47" s="1"/>
      <c r="AA47" s="1"/>
      <c r="AB47" s="1"/>
      <c r="AC47" s="1"/>
      <c r="AD47" s="1"/>
    </row>
    <row r="48">
      <c r="A48" s="1"/>
      <c r="B48" s="110"/>
      <c r="C48" s="110">
        <f t="shared" si="24"/>
        <v>0</v>
      </c>
      <c r="D48" s="110"/>
      <c r="E48" s="110">
        <f t="shared" si="25"/>
        <v>0</v>
      </c>
      <c r="F48" s="110"/>
      <c r="G48" s="110">
        <f t="shared" si="26"/>
        <v>0</v>
      </c>
      <c r="H48" s="110"/>
      <c r="I48" s="110">
        <f t="shared" si="27"/>
        <v>0</v>
      </c>
      <c r="J48" s="110"/>
      <c r="K48" s="110">
        <f t="shared" si="28"/>
        <v>0</v>
      </c>
      <c r="L48" s="110"/>
      <c r="M48" s="110">
        <f t="shared" si="29"/>
        <v>0</v>
      </c>
      <c r="N48" s="1"/>
      <c r="O48" s="1"/>
      <c r="P48" s="1"/>
      <c r="Q48" s="1"/>
      <c r="R48" s="1"/>
      <c r="S48" s="1"/>
      <c r="T48" s="1"/>
      <c r="U48" s="1"/>
      <c r="V48" s="16"/>
      <c r="W48" s="5"/>
      <c r="X48" s="5"/>
      <c r="Y48" s="1"/>
      <c r="Z48" s="1"/>
      <c r="AA48" s="1"/>
      <c r="AB48" s="1"/>
      <c r="AC48" s="1"/>
      <c r="AD48" s="1"/>
    </row>
    <row r="49">
      <c r="A49" s="1"/>
      <c r="B49" s="110"/>
      <c r="C49" s="110">
        <f t="shared" si="24"/>
        <v>0</v>
      </c>
      <c r="D49" s="110"/>
      <c r="E49" s="110">
        <f t="shared" si="25"/>
        <v>0</v>
      </c>
      <c r="F49" s="110"/>
      <c r="G49" s="110">
        <f t="shared" si="26"/>
        <v>0</v>
      </c>
      <c r="H49" s="110"/>
      <c r="I49" s="110">
        <f t="shared" si="27"/>
        <v>0</v>
      </c>
      <c r="J49" s="110"/>
      <c r="K49" s="110">
        <f t="shared" si="28"/>
        <v>1</v>
      </c>
      <c r="L49" s="110"/>
      <c r="M49" s="110">
        <f t="shared" si="29"/>
        <v>0</v>
      </c>
      <c r="N49" s="1"/>
      <c r="O49" s="1"/>
      <c r="P49" s="1"/>
      <c r="Q49" s="1"/>
      <c r="R49" s="1"/>
      <c r="S49" s="1"/>
      <c r="T49" s="1"/>
      <c r="U49" s="1"/>
      <c r="V49" s="16"/>
      <c r="W49" s="5"/>
      <c r="X49" s="95"/>
      <c r="Y49" s="1"/>
      <c r="Z49" s="1"/>
      <c r="AA49" s="1"/>
      <c r="AB49" s="1"/>
      <c r="AC49" s="1"/>
      <c r="AD49" s="1"/>
    </row>
    <row r="50">
      <c r="A50" s="1"/>
      <c r="B50" s="110"/>
      <c r="C50" s="110">
        <f t="shared" si="24"/>
        <v>0</v>
      </c>
      <c r="D50" s="110"/>
      <c r="E50" s="110">
        <f t="shared" si="25"/>
        <v>0</v>
      </c>
      <c r="F50" s="110"/>
      <c r="G50" s="110">
        <f t="shared" si="26"/>
        <v>0</v>
      </c>
      <c r="H50" s="110"/>
      <c r="I50" s="110">
        <f t="shared" si="27"/>
        <v>0</v>
      </c>
      <c r="J50" s="110"/>
      <c r="K50" s="110">
        <f t="shared" si="28"/>
        <v>0</v>
      </c>
      <c r="L50" s="110"/>
      <c r="M50" s="110">
        <f t="shared" si="29"/>
        <v>0</v>
      </c>
      <c r="N50" s="1"/>
      <c r="O50" s="1"/>
      <c r="P50" s="1"/>
      <c r="Q50" s="1"/>
      <c r="R50" s="1"/>
      <c r="S50" s="1"/>
      <c r="T50" s="1"/>
      <c r="U50" s="1"/>
      <c r="V50" s="16"/>
      <c r="W50" s="5"/>
      <c r="X50" s="13"/>
      <c r="Y50" s="1"/>
      <c r="Z50" s="1"/>
      <c r="AA50" s="1"/>
      <c r="AB50" s="1"/>
      <c r="AC50" s="1"/>
      <c r="AD50" s="1"/>
    </row>
    <row r="51">
      <c r="A51" s="1"/>
      <c r="B51" s="110"/>
      <c r="C51" s="110">
        <f t="shared" si="24"/>
        <v>0</v>
      </c>
      <c r="D51" s="110"/>
      <c r="E51" s="110">
        <f t="shared" si="25"/>
        <v>1</v>
      </c>
      <c r="F51" s="110"/>
      <c r="G51" s="110">
        <f t="shared" si="26"/>
        <v>0</v>
      </c>
      <c r="H51" s="110"/>
      <c r="I51" s="110">
        <f t="shared" si="27"/>
        <v>0</v>
      </c>
      <c r="J51" s="110"/>
      <c r="K51" s="110">
        <f t="shared" si="28"/>
        <v>0</v>
      </c>
      <c r="L51" s="110"/>
      <c r="M51" s="110">
        <f t="shared" si="29"/>
        <v>1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110"/>
      <c r="C52" s="110">
        <f t="shared" si="24"/>
        <v>0</v>
      </c>
      <c r="D52" s="110"/>
      <c r="E52" s="110">
        <f t="shared" si="25"/>
        <v>0</v>
      </c>
      <c r="F52" s="110"/>
      <c r="G52" s="110">
        <f t="shared" si="26"/>
        <v>0</v>
      </c>
      <c r="H52" s="110"/>
      <c r="I52" s="110">
        <f t="shared" si="27"/>
        <v>0</v>
      </c>
      <c r="J52" s="110"/>
      <c r="K52" s="110">
        <f t="shared" si="28"/>
        <v>0</v>
      </c>
      <c r="L52" s="110"/>
      <c r="M52" s="110">
        <f t="shared" si="29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110"/>
      <c r="C53" s="110">
        <f t="shared" si="24"/>
        <v>0</v>
      </c>
      <c r="D53" s="110"/>
      <c r="E53" s="110">
        <f t="shared" si="25"/>
        <v>0</v>
      </c>
      <c r="F53" s="110"/>
      <c r="G53" s="110">
        <f t="shared" si="26"/>
        <v>0</v>
      </c>
      <c r="H53" s="110"/>
      <c r="I53" s="110">
        <f t="shared" si="27"/>
        <v>0</v>
      </c>
      <c r="J53" s="110"/>
      <c r="K53" s="110">
        <f t="shared" si="28"/>
        <v>0</v>
      </c>
      <c r="L53" s="110"/>
      <c r="M53" s="110">
        <f t="shared" si="29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/>
      <c r="B54" s="110"/>
      <c r="C54" s="110">
        <f t="shared" si="24"/>
        <v>0</v>
      </c>
      <c r="D54" s="110"/>
      <c r="E54" s="110">
        <f t="shared" si="25"/>
        <v>0</v>
      </c>
      <c r="F54" s="110"/>
      <c r="G54" s="110">
        <f t="shared" si="26"/>
        <v>0</v>
      </c>
      <c r="H54" s="110"/>
      <c r="I54" s="110">
        <f t="shared" si="27"/>
        <v>0</v>
      </c>
      <c r="J54" s="110"/>
      <c r="K54" s="110">
        <f t="shared" si="28"/>
        <v>0</v>
      </c>
      <c r="L54" s="110"/>
      <c r="M54" s="110">
        <f t="shared" si="29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"/>
      <c r="B55" s="110"/>
      <c r="C55" s="110">
        <f t="shared" si="24"/>
        <v>0</v>
      </c>
      <c r="D55" s="110"/>
      <c r="E55" s="110">
        <f t="shared" si="25"/>
        <v>0</v>
      </c>
      <c r="F55" s="110"/>
      <c r="G55" s="110">
        <f t="shared" si="26"/>
        <v>0</v>
      </c>
      <c r="H55" s="110"/>
      <c r="I55" s="110">
        <f t="shared" si="27"/>
        <v>0</v>
      </c>
      <c r="J55" s="110"/>
      <c r="K55" s="110">
        <f t="shared" si="28"/>
        <v>0</v>
      </c>
      <c r="L55" s="110"/>
      <c r="M55" s="110">
        <f t="shared" si="29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/>
      <c r="B56" s="110"/>
      <c r="C56" s="110">
        <f t="shared" si="24"/>
        <v>0</v>
      </c>
      <c r="D56" s="110"/>
      <c r="E56" s="110">
        <f t="shared" si="25"/>
        <v>0</v>
      </c>
      <c r="F56" s="110"/>
      <c r="G56" s="110">
        <f t="shared" si="26"/>
        <v>0</v>
      </c>
      <c r="H56" s="110"/>
      <c r="I56" s="110">
        <f t="shared" si="27"/>
        <v>0</v>
      </c>
      <c r="J56" s="110"/>
      <c r="K56" s="110">
        <f t="shared" si="28"/>
        <v>0</v>
      </c>
      <c r="L56" s="110"/>
      <c r="M56" s="110">
        <f t="shared" si="29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110"/>
      <c r="C57" s="110">
        <f t="shared" si="24"/>
        <v>0</v>
      </c>
      <c r="D57" s="110"/>
      <c r="E57" s="110">
        <f t="shared" si="25"/>
        <v>0</v>
      </c>
      <c r="F57" s="110"/>
      <c r="G57" s="110">
        <f t="shared" si="26"/>
        <v>0</v>
      </c>
      <c r="H57" s="110"/>
      <c r="I57" s="110">
        <f t="shared" si="27"/>
        <v>0</v>
      </c>
      <c r="J57" s="110"/>
      <c r="K57" s="110">
        <f t="shared" si="28"/>
        <v>0</v>
      </c>
      <c r="L57" s="110"/>
      <c r="M57" s="110">
        <f t="shared" si="29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/>
      <c r="B58" s="1"/>
      <c r="C58" s="1"/>
      <c r="D58" s="1"/>
      <c r="E58" s="1"/>
      <c r="F58" s="1"/>
      <c r="G58" s="1">
        <f t="shared" si="26"/>
        <v>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</sheetData>
  <mergeCells count="12">
    <mergeCell ref="N17:T17"/>
    <mergeCell ref="U17:U31"/>
    <mergeCell ref="AC17:AC30"/>
    <mergeCell ref="V31:AC31"/>
    <mergeCell ref="B2:F2"/>
    <mergeCell ref="H2:L2"/>
    <mergeCell ref="N2:R2"/>
    <mergeCell ref="U2:Y2"/>
    <mergeCell ref="U16:AC16"/>
    <mergeCell ref="B17:F17"/>
    <mergeCell ref="H17:L17"/>
    <mergeCell ref="V17:AB1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3" max="3" width="14.25"/>
    <col hidden="1" min="24" max="28" width="12.63"/>
  </cols>
  <sheetData>
    <row r="3">
      <c r="A3" s="139"/>
      <c r="B3" s="155"/>
      <c r="C3" s="156"/>
      <c r="D3" s="155" t="s">
        <v>0</v>
      </c>
      <c r="E3" s="157"/>
      <c r="F3" s="155" t="s">
        <v>1</v>
      </c>
      <c r="G3" s="157"/>
      <c r="H3" s="155" t="s">
        <v>2</v>
      </c>
      <c r="I3" s="157"/>
      <c r="J3" s="155" t="s">
        <v>3</v>
      </c>
      <c r="K3" s="157"/>
      <c r="L3" s="155" t="s">
        <v>23</v>
      </c>
      <c r="M3" s="157"/>
      <c r="N3" s="155" t="s">
        <v>24</v>
      </c>
      <c r="O3" s="157"/>
      <c r="P3" s="155" t="s">
        <v>156</v>
      </c>
      <c r="Q3" s="157"/>
      <c r="R3" s="155" t="s">
        <v>157</v>
      </c>
      <c r="S3" s="157"/>
      <c r="T3" s="155" t="s">
        <v>158</v>
      </c>
      <c r="U3" s="157"/>
      <c r="V3" s="155" t="s">
        <v>159</v>
      </c>
      <c r="W3" s="157"/>
      <c r="X3" s="155" t="s">
        <v>32</v>
      </c>
      <c r="Y3" s="158"/>
      <c r="Z3" s="158"/>
      <c r="AA3" s="158"/>
      <c r="AB3" s="157"/>
    </row>
    <row r="4">
      <c r="A4" s="159" t="s">
        <v>4</v>
      </c>
      <c r="B4" s="160" t="s">
        <v>5</v>
      </c>
      <c r="C4" s="161" t="s">
        <v>27</v>
      </c>
      <c r="D4" s="162" t="s">
        <v>6</v>
      </c>
      <c r="E4" s="163" t="s">
        <v>7</v>
      </c>
      <c r="F4" s="162" t="s">
        <v>6</v>
      </c>
      <c r="G4" s="163" t="s">
        <v>7</v>
      </c>
      <c r="H4" s="162" t="s">
        <v>6</v>
      </c>
      <c r="I4" s="163" t="s">
        <v>7</v>
      </c>
      <c r="J4" s="162" t="s">
        <v>6</v>
      </c>
      <c r="K4" s="163" t="s">
        <v>7</v>
      </c>
      <c r="L4" s="162" t="s">
        <v>6</v>
      </c>
      <c r="M4" s="163" t="s">
        <v>7</v>
      </c>
      <c r="N4" s="162" t="s">
        <v>6</v>
      </c>
      <c r="O4" s="163" t="s">
        <v>7</v>
      </c>
      <c r="P4" s="162" t="s">
        <v>6</v>
      </c>
      <c r="Q4" s="163" t="s">
        <v>7</v>
      </c>
      <c r="R4" s="162" t="s">
        <v>6</v>
      </c>
      <c r="S4" s="163" t="s">
        <v>7</v>
      </c>
      <c r="T4" s="162" t="s">
        <v>6</v>
      </c>
      <c r="U4" s="163" t="s">
        <v>7</v>
      </c>
      <c r="V4" s="162" t="s">
        <v>6</v>
      </c>
      <c r="W4" s="163" t="s">
        <v>7</v>
      </c>
      <c r="X4" s="162" t="s">
        <v>6</v>
      </c>
      <c r="Y4" s="164" t="s">
        <v>7</v>
      </c>
      <c r="Z4" s="164" t="s">
        <v>28</v>
      </c>
      <c r="AA4" s="164" t="s">
        <v>32</v>
      </c>
      <c r="AB4" s="163" t="s">
        <v>29</v>
      </c>
    </row>
    <row r="5">
      <c r="A5" s="165">
        <f t="array" ref="A5:A16">SEQUENCE(12,1)</f>
        <v>1</v>
      </c>
      <c r="B5" s="166" t="s">
        <v>160</v>
      </c>
      <c r="C5" s="167" t="s">
        <v>161</v>
      </c>
      <c r="D5" s="166">
        <v>8.0</v>
      </c>
      <c r="E5" s="168">
        <v>13.0</v>
      </c>
      <c r="F5" s="166">
        <v>6.0</v>
      </c>
      <c r="G5" s="168">
        <v>11.0</v>
      </c>
      <c r="H5" s="166">
        <v>0.0</v>
      </c>
      <c r="I5" s="168">
        <v>2.0</v>
      </c>
      <c r="J5" s="166">
        <v>8.0</v>
      </c>
      <c r="K5" s="168">
        <v>17.0</v>
      </c>
      <c r="L5" s="166">
        <v>1.0</v>
      </c>
      <c r="M5" s="168">
        <v>6.0</v>
      </c>
      <c r="N5" s="166">
        <v>7.0</v>
      </c>
      <c r="O5" s="168">
        <v>11.0</v>
      </c>
      <c r="P5" s="166"/>
      <c r="Q5" s="168"/>
      <c r="R5" s="166"/>
      <c r="S5" s="168"/>
      <c r="T5" s="166"/>
      <c r="U5" s="168"/>
      <c r="V5" s="166"/>
      <c r="W5" s="168"/>
      <c r="X5" s="166">
        <f t="shared" ref="X5:Y5" si="1">D5+F5+H5+J5+L5+N5+P5+R5+T5+V5</f>
        <v>30</v>
      </c>
      <c r="Y5" s="12">
        <f t="shared" si="1"/>
        <v>60</v>
      </c>
      <c r="Z5" s="169">
        <f t="shared" ref="Z5:Z16" si="3">IF(D5=12, 1, 0) + IF(F5=12, 1, 0) + IF(H5=12, 1, 0) + IF(J5=12, 1, 0)+IF(L5=12, 1, 0)+IF(N5=12, 1, 0)+IF(P5=12, 1, 0)+IF(R5=12, 1, 0)+IF(T5=12, 1, 0)+IF(V5=12, 1, 0)</f>
        <v>0</v>
      </c>
      <c r="AA5" s="169">
        <f t="shared" ref="AA5:AA16" si="4">SUM(X5:Y5)</f>
        <v>90</v>
      </c>
      <c r="AB5" s="168">
        <f t="shared" ref="AB5:AB16" si="5">COUNTA(D5,F5,H5,J5,L5,N5,P5,R5,T5,V5)</f>
        <v>6</v>
      </c>
    </row>
    <row r="6">
      <c r="A6" s="170">
        <v>2.0</v>
      </c>
      <c r="B6" s="171" t="s">
        <v>162</v>
      </c>
      <c r="C6" s="172" t="s">
        <v>163</v>
      </c>
      <c r="D6" s="171">
        <v>3.0</v>
      </c>
      <c r="E6" s="173">
        <v>12.0</v>
      </c>
      <c r="F6" s="171">
        <v>12.0</v>
      </c>
      <c r="G6" s="173">
        <v>19.0</v>
      </c>
      <c r="H6" s="171">
        <v>8.0</v>
      </c>
      <c r="I6" s="173">
        <v>18.0</v>
      </c>
      <c r="J6" s="171">
        <v>4.0</v>
      </c>
      <c r="K6" s="173">
        <v>15.0</v>
      </c>
      <c r="L6" s="171">
        <v>9.0</v>
      </c>
      <c r="M6" s="173">
        <v>15.0</v>
      </c>
      <c r="N6" s="171">
        <v>3.0</v>
      </c>
      <c r="O6" s="173">
        <v>8.0</v>
      </c>
      <c r="P6" s="171"/>
      <c r="Q6" s="173"/>
      <c r="R6" s="171"/>
      <c r="S6" s="173"/>
      <c r="T6" s="171"/>
      <c r="U6" s="173"/>
      <c r="V6" s="171"/>
      <c r="W6" s="173"/>
      <c r="X6" s="166">
        <f t="shared" ref="X6:Y6" si="2">D6+F6+H6+J6+L6+N6+P6+R6+T6+V6</f>
        <v>39</v>
      </c>
      <c r="Y6" s="12">
        <f t="shared" si="2"/>
        <v>87</v>
      </c>
      <c r="Z6" s="169">
        <f t="shared" si="3"/>
        <v>1</v>
      </c>
      <c r="AA6" s="169">
        <f t="shared" si="4"/>
        <v>126</v>
      </c>
      <c r="AB6" s="168">
        <f t="shared" si="5"/>
        <v>6</v>
      </c>
    </row>
    <row r="7">
      <c r="A7" s="170">
        <v>3.0</v>
      </c>
      <c r="B7" s="171" t="s">
        <v>164</v>
      </c>
      <c r="C7" s="172" t="s">
        <v>165</v>
      </c>
      <c r="D7" s="171">
        <v>6.0</v>
      </c>
      <c r="E7" s="173">
        <v>15.0</v>
      </c>
      <c r="F7" s="171">
        <v>0.0</v>
      </c>
      <c r="G7" s="173">
        <v>2.0</v>
      </c>
      <c r="H7" s="171">
        <v>5.0</v>
      </c>
      <c r="I7" s="173">
        <v>8.0</v>
      </c>
      <c r="J7" s="171">
        <v>1.0</v>
      </c>
      <c r="K7" s="173">
        <v>8.0</v>
      </c>
      <c r="L7" s="171">
        <v>3.0</v>
      </c>
      <c r="M7" s="173">
        <v>3.0</v>
      </c>
      <c r="N7" s="171">
        <v>1.0</v>
      </c>
      <c r="O7" s="173">
        <v>4.0</v>
      </c>
      <c r="P7" s="171"/>
      <c r="Q7" s="173"/>
      <c r="R7" s="171"/>
      <c r="S7" s="173"/>
      <c r="T7" s="171"/>
      <c r="U7" s="173"/>
      <c r="V7" s="171"/>
      <c r="W7" s="173"/>
      <c r="X7" s="166">
        <f t="shared" ref="X7:Y7" si="6">D7+F7+H7+J7+L7+N7+P7+R7+T7+V7</f>
        <v>16</v>
      </c>
      <c r="Y7" s="12">
        <f t="shared" si="6"/>
        <v>40</v>
      </c>
      <c r="Z7" s="169">
        <f t="shared" si="3"/>
        <v>0</v>
      </c>
      <c r="AA7" s="169">
        <f t="shared" si="4"/>
        <v>56</v>
      </c>
      <c r="AB7" s="168">
        <f t="shared" si="5"/>
        <v>6</v>
      </c>
    </row>
    <row r="8">
      <c r="A8" s="170">
        <v>4.0</v>
      </c>
      <c r="B8" s="174" t="s">
        <v>166</v>
      </c>
      <c r="C8" s="175" t="s">
        <v>167</v>
      </c>
      <c r="D8" s="171">
        <v>4.0</v>
      </c>
      <c r="E8" s="176">
        <v>9.0</v>
      </c>
      <c r="F8" s="171">
        <v>4.0</v>
      </c>
      <c r="G8" s="176">
        <v>2.0</v>
      </c>
      <c r="H8" s="171">
        <v>7.0</v>
      </c>
      <c r="I8" s="176">
        <v>10.0</v>
      </c>
      <c r="J8" s="171">
        <v>6.0</v>
      </c>
      <c r="K8" s="176">
        <v>5.0</v>
      </c>
      <c r="L8" s="171">
        <v>5.0</v>
      </c>
      <c r="M8" s="176">
        <v>3.0</v>
      </c>
      <c r="N8" s="171">
        <v>4.0</v>
      </c>
      <c r="O8" s="176">
        <v>9.0</v>
      </c>
      <c r="P8" s="171"/>
      <c r="Q8" s="176"/>
      <c r="R8" s="171"/>
      <c r="S8" s="176"/>
      <c r="T8" s="171"/>
      <c r="U8" s="176"/>
      <c r="V8" s="171"/>
      <c r="W8" s="176"/>
      <c r="X8" s="166">
        <f t="shared" ref="X8:Y8" si="7">D8+F8+H8+J8+L8+N8+P8+R8+T8+V8</f>
        <v>30</v>
      </c>
      <c r="Y8" s="12">
        <f t="shared" si="7"/>
        <v>38</v>
      </c>
      <c r="Z8" s="169">
        <f t="shared" si="3"/>
        <v>0</v>
      </c>
      <c r="AA8" s="169">
        <f t="shared" si="4"/>
        <v>68</v>
      </c>
      <c r="AB8" s="168">
        <f t="shared" si="5"/>
        <v>6</v>
      </c>
    </row>
    <row r="9">
      <c r="A9" s="170">
        <v>5.0</v>
      </c>
      <c r="B9" s="171" t="s">
        <v>168</v>
      </c>
      <c r="C9" s="172" t="s">
        <v>169</v>
      </c>
      <c r="D9" s="171">
        <v>2.0</v>
      </c>
      <c r="E9" s="173">
        <v>8.0</v>
      </c>
      <c r="F9" s="171">
        <v>7.0</v>
      </c>
      <c r="G9" s="173">
        <v>10.0</v>
      </c>
      <c r="H9" s="171">
        <v>2.0</v>
      </c>
      <c r="I9" s="173">
        <v>7.0</v>
      </c>
      <c r="J9" s="171">
        <v>3.0</v>
      </c>
      <c r="K9" s="173">
        <v>10.0</v>
      </c>
      <c r="L9" s="171">
        <v>4.0</v>
      </c>
      <c r="M9" s="173">
        <v>13.0</v>
      </c>
      <c r="N9" s="171">
        <v>0.0</v>
      </c>
      <c r="O9" s="173">
        <v>0.0</v>
      </c>
      <c r="P9" s="171"/>
      <c r="Q9" s="173"/>
      <c r="R9" s="171"/>
      <c r="S9" s="173"/>
      <c r="T9" s="171"/>
      <c r="U9" s="173"/>
      <c r="V9" s="171"/>
      <c r="W9" s="173"/>
      <c r="X9" s="166">
        <f t="shared" ref="X9:Y9" si="8">D9+F9+H9+J9+L9+N9+P9+R9+T9+V9</f>
        <v>18</v>
      </c>
      <c r="Y9" s="12">
        <f t="shared" si="8"/>
        <v>48</v>
      </c>
      <c r="Z9" s="169">
        <f t="shared" si="3"/>
        <v>0</v>
      </c>
      <c r="AA9" s="169">
        <f t="shared" si="4"/>
        <v>66</v>
      </c>
      <c r="AB9" s="168">
        <f t="shared" si="5"/>
        <v>6</v>
      </c>
    </row>
    <row r="10">
      <c r="A10" s="170">
        <v>6.0</v>
      </c>
      <c r="B10" s="171" t="s">
        <v>170</v>
      </c>
      <c r="C10" s="172" t="s">
        <v>171</v>
      </c>
      <c r="D10" s="171">
        <v>12.0</v>
      </c>
      <c r="E10" s="173">
        <v>12.0</v>
      </c>
      <c r="F10" s="171">
        <v>8.0</v>
      </c>
      <c r="G10" s="173">
        <v>12.0</v>
      </c>
      <c r="H10" s="171">
        <v>9.0</v>
      </c>
      <c r="I10" s="173">
        <v>11.0</v>
      </c>
      <c r="J10" s="171">
        <v>5.0</v>
      </c>
      <c r="K10" s="173">
        <v>3.0</v>
      </c>
      <c r="L10" s="171">
        <v>2.0</v>
      </c>
      <c r="M10" s="173">
        <v>2.0</v>
      </c>
      <c r="N10" s="171">
        <v>12.0</v>
      </c>
      <c r="O10" s="173">
        <v>9.0</v>
      </c>
      <c r="P10" s="171"/>
      <c r="Q10" s="173"/>
      <c r="R10" s="171"/>
      <c r="S10" s="173"/>
      <c r="T10" s="171"/>
      <c r="U10" s="173"/>
      <c r="V10" s="171"/>
      <c r="W10" s="173"/>
      <c r="X10" s="166">
        <f t="shared" ref="X10:Y10" si="9">D10+F10+H10+J10+L10+N10+P10+R10+T10+V10</f>
        <v>48</v>
      </c>
      <c r="Y10" s="12">
        <f t="shared" si="9"/>
        <v>49</v>
      </c>
      <c r="Z10" s="169">
        <f t="shared" si="3"/>
        <v>2</v>
      </c>
      <c r="AA10" s="169">
        <f t="shared" si="4"/>
        <v>97</v>
      </c>
      <c r="AB10" s="168">
        <f t="shared" si="5"/>
        <v>6</v>
      </c>
    </row>
    <row r="11">
      <c r="A11" s="170">
        <v>7.0</v>
      </c>
      <c r="B11" s="171" t="s">
        <v>172</v>
      </c>
      <c r="C11" s="172" t="s">
        <v>173</v>
      </c>
      <c r="D11" s="171">
        <v>1.0</v>
      </c>
      <c r="E11" s="176">
        <v>12.0</v>
      </c>
      <c r="F11" s="171">
        <v>2.0</v>
      </c>
      <c r="G11" s="176">
        <v>5.0</v>
      </c>
      <c r="H11" s="171">
        <v>6.0</v>
      </c>
      <c r="I11" s="176">
        <v>6.0</v>
      </c>
      <c r="J11" s="171">
        <v>0.0</v>
      </c>
      <c r="K11" s="176">
        <v>0.0</v>
      </c>
      <c r="L11" s="171">
        <v>12.0</v>
      </c>
      <c r="M11" s="176">
        <v>21.0</v>
      </c>
      <c r="N11" s="171">
        <v>0.0</v>
      </c>
      <c r="O11" s="176">
        <v>0.0</v>
      </c>
      <c r="P11" s="171"/>
      <c r="Q11" s="176"/>
      <c r="R11" s="171"/>
      <c r="S11" s="176"/>
      <c r="T11" s="171"/>
      <c r="U11" s="176"/>
      <c r="V11" s="171"/>
      <c r="W11" s="176"/>
      <c r="X11" s="166">
        <f t="shared" ref="X11:Y11" si="10">D11+F11+H11+J11+L11+N11+P11+R11+T11+V11</f>
        <v>21</v>
      </c>
      <c r="Y11" s="12">
        <f t="shared" si="10"/>
        <v>44</v>
      </c>
      <c r="Z11" s="169">
        <f t="shared" si="3"/>
        <v>1</v>
      </c>
      <c r="AA11" s="169">
        <f t="shared" si="4"/>
        <v>65</v>
      </c>
      <c r="AB11" s="168">
        <f t="shared" si="5"/>
        <v>6</v>
      </c>
    </row>
    <row r="12">
      <c r="A12" s="170">
        <v>8.0</v>
      </c>
      <c r="B12" s="171" t="s">
        <v>174</v>
      </c>
      <c r="C12" s="172" t="s">
        <v>175</v>
      </c>
      <c r="D12" s="171">
        <v>0.0</v>
      </c>
      <c r="E12" s="173">
        <v>0.0</v>
      </c>
      <c r="F12" s="171">
        <v>3.0</v>
      </c>
      <c r="G12" s="173">
        <v>8.0</v>
      </c>
      <c r="H12" s="171">
        <v>0.0</v>
      </c>
      <c r="I12" s="173">
        <v>1.0</v>
      </c>
      <c r="J12" s="171">
        <v>0.0</v>
      </c>
      <c r="K12" s="173">
        <v>1.0</v>
      </c>
      <c r="L12" s="171">
        <v>0.0</v>
      </c>
      <c r="M12" s="173">
        <v>0.0</v>
      </c>
      <c r="N12" s="171">
        <v>5.0</v>
      </c>
      <c r="O12" s="173">
        <v>14.0</v>
      </c>
      <c r="P12" s="171"/>
      <c r="Q12" s="173"/>
      <c r="R12" s="171"/>
      <c r="S12" s="173"/>
      <c r="T12" s="171"/>
      <c r="U12" s="173"/>
      <c r="V12" s="171"/>
      <c r="W12" s="173"/>
      <c r="X12" s="166">
        <f t="shared" ref="X12:Y12" si="11">D12+F12+H12+J12+L12+N12+P12+R12+T12+V12</f>
        <v>8</v>
      </c>
      <c r="Y12" s="12">
        <f t="shared" si="11"/>
        <v>24</v>
      </c>
      <c r="Z12" s="169">
        <f t="shared" si="3"/>
        <v>0</v>
      </c>
      <c r="AA12" s="169">
        <f t="shared" si="4"/>
        <v>32</v>
      </c>
      <c r="AB12" s="168">
        <f t="shared" si="5"/>
        <v>6</v>
      </c>
    </row>
    <row r="13">
      <c r="A13" s="170">
        <v>9.0</v>
      </c>
      <c r="B13" s="166" t="s">
        <v>176</v>
      </c>
      <c r="C13" s="167" t="s">
        <v>177</v>
      </c>
      <c r="D13" s="171">
        <v>5.0</v>
      </c>
      <c r="E13" s="173">
        <v>13.0</v>
      </c>
      <c r="F13" s="171">
        <v>0.0</v>
      </c>
      <c r="G13" s="173">
        <v>1.0</v>
      </c>
      <c r="H13" s="171">
        <v>4.0</v>
      </c>
      <c r="I13" s="173">
        <v>15.0</v>
      </c>
      <c r="J13" s="171">
        <v>2.0</v>
      </c>
      <c r="K13" s="173">
        <v>12.0</v>
      </c>
      <c r="L13" s="171">
        <v>0.0</v>
      </c>
      <c r="M13" s="173">
        <v>0.0</v>
      </c>
      <c r="N13" s="171">
        <v>2.0</v>
      </c>
      <c r="O13" s="173">
        <v>6.0</v>
      </c>
      <c r="P13" s="171"/>
      <c r="Q13" s="173"/>
      <c r="R13" s="171"/>
      <c r="S13" s="173"/>
      <c r="T13" s="171"/>
      <c r="U13" s="173"/>
      <c r="V13" s="171"/>
      <c r="W13" s="173"/>
      <c r="X13" s="166">
        <f t="shared" ref="X13:Y13" si="12">D13+F13+H13+J13+L13+N13+P13+R13+T13+V13</f>
        <v>13</v>
      </c>
      <c r="Y13" s="12">
        <f t="shared" si="12"/>
        <v>47</v>
      </c>
      <c r="Z13" s="169">
        <f t="shared" si="3"/>
        <v>0</v>
      </c>
      <c r="AA13" s="169">
        <f t="shared" si="4"/>
        <v>60</v>
      </c>
      <c r="AB13" s="168">
        <f t="shared" si="5"/>
        <v>6</v>
      </c>
    </row>
    <row r="14">
      <c r="A14" s="170">
        <v>10.0</v>
      </c>
      <c r="B14" s="171" t="s">
        <v>178</v>
      </c>
      <c r="C14" s="172" t="s">
        <v>179</v>
      </c>
      <c r="D14" s="171">
        <v>9.0</v>
      </c>
      <c r="E14" s="176">
        <v>12.0</v>
      </c>
      <c r="F14" s="171">
        <v>5.0</v>
      </c>
      <c r="G14" s="176">
        <v>7.0</v>
      </c>
      <c r="H14" s="171">
        <v>12.0</v>
      </c>
      <c r="I14" s="176">
        <v>16.0</v>
      </c>
      <c r="J14" s="171">
        <v>9.0</v>
      </c>
      <c r="K14" s="176">
        <v>13.0</v>
      </c>
      <c r="L14" s="171">
        <v>6.0</v>
      </c>
      <c r="M14" s="176">
        <v>7.0</v>
      </c>
      <c r="N14" s="171">
        <v>8.0</v>
      </c>
      <c r="O14" s="176">
        <v>5.0</v>
      </c>
      <c r="P14" s="171"/>
      <c r="Q14" s="176"/>
      <c r="R14" s="171"/>
      <c r="S14" s="176"/>
      <c r="T14" s="171"/>
      <c r="U14" s="176"/>
      <c r="V14" s="171"/>
      <c r="W14" s="176"/>
      <c r="X14" s="166">
        <f t="shared" ref="X14:Y14" si="13">D14+F14+H14+J14+L14+N14+P14+R14+T14+V14</f>
        <v>49</v>
      </c>
      <c r="Y14" s="12">
        <f t="shared" si="13"/>
        <v>60</v>
      </c>
      <c r="Z14" s="169">
        <f t="shared" si="3"/>
        <v>1</v>
      </c>
      <c r="AA14" s="169">
        <f t="shared" si="4"/>
        <v>109</v>
      </c>
      <c r="AB14" s="168">
        <f t="shared" si="5"/>
        <v>6</v>
      </c>
    </row>
    <row r="15">
      <c r="A15" s="170">
        <v>11.0</v>
      </c>
      <c r="B15" s="171" t="s">
        <v>180</v>
      </c>
      <c r="C15" s="172" t="s">
        <v>181</v>
      </c>
      <c r="D15" s="171">
        <v>7.0</v>
      </c>
      <c r="E15" s="173">
        <v>13.0</v>
      </c>
      <c r="F15" s="171">
        <v>1.0</v>
      </c>
      <c r="G15" s="173">
        <v>4.0</v>
      </c>
      <c r="H15" s="171">
        <v>1.0</v>
      </c>
      <c r="I15" s="173">
        <v>1.0</v>
      </c>
      <c r="J15" s="171">
        <v>12.0</v>
      </c>
      <c r="K15" s="173">
        <v>22.0</v>
      </c>
      <c r="L15" s="171">
        <v>7.0</v>
      </c>
      <c r="M15" s="173">
        <v>14.0</v>
      </c>
      <c r="N15" s="171">
        <v>9.0</v>
      </c>
      <c r="O15" s="173">
        <v>9.0</v>
      </c>
      <c r="P15" s="171"/>
      <c r="Q15" s="173"/>
      <c r="R15" s="171"/>
      <c r="S15" s="173"/>
      <c r="T15" s="171"/>
      <c r="U15" s="173"/>
      <c r="V15" s="171"/>
      <c r="W15" s="173"/>
      <c r="X15" s="166">
        <f t="shared" ref="X15:Y15" si="14">D15+F15+H15+J15+L15+N15+P15+R15+T15+V15</f>
        <v>37</v>
      </c>
      <c r="Y15" s="12">
        <f t="shared" si="14"/>
        <v>63</v>
      </c>
      <c r="Z15" s="169">
        <f t="shared" si="3"/>
        <v>1</v>
      </c>
      <c r="AA15" s="169">
        <f t="shared" si="4"/>
        <v>100</v>
      </c>
      <c r="AB15" s="168">
        <f t="shared" si="5"/>
        <v>6</v>
      </c>
    </row>
    <row r="16">
      <c r="A16" s="177">
        <v>12.0</v>
      </c>
      <c r="B16" s="178" t="s">
        <v>182</v>
      </c>
      <c r="C16" s="179" t="s">
        <v>183</v>
      </c>
      <c r="D16" s="180">
        <v>0.0</v>
      </c>
      <c r="E16" s="181">
        <v>6.0</v>
      </c>
      <c r="F16" s="178">
        <v>9.0</v>
      </c>
      <c r="G16" s="182">
        <v>8.0</v>
      </c>
      <c r="H16" s="178">
        <v>3.0</v>
      </c>
      <c r="I16" s="182">
        <v>11.0</v>
      </c>
      <c r="J16" s="178">
        <v>7.0</v>
      </c>
      <c r="K16" s="182">
        <v>10.0</v>
      </c>
      <c r="L16" s="178">
        <v>8.0</v>
      </c>
      <c r="M16" s="182">
        <v>15.0</v>
      </c>
      <c r="N16" s="178">
        <v>6.0</v>
      </c>
      <c r="O16" s="182">
        <v>16.0</v>
      </c>
      <c r="P16" s="178"/>
      <c r="Q16" s="182"/>
      <c r="R16" s="178"/>
      <c r="S16" s="182"/>
      <c r="T16" s="178"/>
      <c r="U16" s="182"/>
      <c r="V16" s="178"/>
      <c r="W16" s="182"/>
      <c r="X16" s="183">
        <f t="shared" ref="X16:Y16" si="15">D16+F16+H16+J16+L16+N16+P16+R16+T16+V16</f>
        <v>33</v>
      </c>
      <c r="Y16" s="184">
        <f t="shared" si="15"/>
        <v>66</v>
      </c>
      <c r="Z16" s="185">
        <f t="shared" si="3"/>
        <v>0</v>
      </c>
      <c r="AA16" s="185">
        <f t="shared" si="4"/>
        <v>99</v>
      </c>
      <c r="AB16" s="186">
        <f t="shared" si="5"/>
        <v>6</v>
      </c>
    </row>
    <row r="17">
      <c r="D17" s="187">
        <f t="shared" ref="D17:W17" si="16">SUM(D5:D16)</f>
        <v>57</v>
      </c>
      <c r="E17" s="187">
        <f t="shared" si="16"/>
        <v>125</v>
      </c>
      <c r="F17" s="187">
        <f t="shared" si="16"/>
        <v>57</v>
      </c>
      <c r="G17" s="187">
        <f t="shared" si="16"/>
        <v>89</v>
      </c>
      <c r="H17" s="187">
        <f t="shared" si="16"/>
        <v>57</v>
      </c>
      <c r="I17" s="187">
        <f t="shared" si="16"/>
        <v>106</v>
      </c>
      <c r="J17" s="187">
        <f t="shared" si="16"/>
        <v>57</v>
      </c>
      <c r="K17" s="187">
        <f t="shared" si="16"/>
        <v>116</v>
      </c>
      <c r="L17" s="187">
        <f t="shared" si="16"/>
        <v>57</v>
      </c>
      <c r="M17" s="187">
        <f t="shared" si="16"/>
        <v>99</v>
      </c>
      <c r="N17" s="187">
        <f t="shared" si="16"/>
        <v>57</v>
      </c>
      <c r="O17" s="187">
        <f t="shared" si="16"/>
        <v>91</v>
      </c>
      <c r="P17" s="187">
        <f t="shared" si="16"/>
        <v>0</v>
      </c>
      <c r="Q17" s="187">
        <f t="shared" si="16"/>
        <v>0</v>
      </c>
      <c r="R17" s="187">
        <f t="shared" si="16"/>
        <v>0</v>
      </c>
      <c r="S17" s="187">
        <f t="shared" si="16"/>
        <v>0</v>
      </c>
      <c r="T17" s="187">
        <f t="shared" si="16"/>
        <v>0</v>
      </c>
      <c r="U17" s="187">
        <f t="shared" si="16"/>
        <v>0</v>
      </c>
      <c r="V17" s="187">
        <f t="shared" si="16"/>
        <v>0</v>
      </c>
      <c r="W17" s="188">
        <f t="shared" si="16"/>
        <v>0</v>
      </c>
      <c r="X17" s="5"/>
      <c r="AA17" s="13"/>
      <c r="AB17" s="13"/>
    </row>
    <row r="18">
      <c r="D18" s="188">
        <f>SUM(D17:E17)</f>
        <v>182</v>
      </c>
      <c r="E18" s="189"/>
      <c r="F18" s="188">
        <f>SUM(F17:G17)</f>
        <v>146</v>
      </c>
      <c r="G18" s="189"/>
      <c r="H18" s="188">
        <f>SUM(H17:I17)</f>
        <v>163</v>
      </c>
      <c r="I18" s="189"/>
      <c r="J18" s="188">
        <f>SUM(J17:K17)</f>
        <v>173</v>
      </c>
      <c r="K18" s="189"/>
      <c r="L18" s="188">
        <f>SUM(L17:M17)</f>
        <v>156</v>
      </c>
      <c r="M18" s="189"/>
      <c r="N18" s="188">
        <f>SUM(N17:O17)</f>
        <v>148</v>
      </c>
      <c r="O18" s="189"/>
      <c r="P18" s="188">
        <f>SUM(P17:Q17)</f>
        <v>0</v>
      </c>
      <c r="Q18" s="189"/>
      <c r="R18" s="188">
        <f>SUM(R17:S17)</f>
        <v>0</v>
      </c>
      <c r="S18" s="189"/>
      <c r="T18" s="188">
        <f>SUM(T17:U17)</f>
        <v>0</v>
      </c>
      <c r="U18" s="189"/>
      <c r="V18" s="188">
        <f>SUM(V17:W17)</f>
        <v>0</v>
      </c>
      <c r="W18" s="189"/>
      <c r="X18" s="5"/>
      <c r="AA18" s="13"/>
      <c r="AB18" s="13"/>
    </row>
    <row r="20">
      <c r="B20" s="26" t="s">
        <v>184</v>
      </c>
    </row>
    <row r="21">
      <c r="B21" s="26" t="s">
        <v>185</v>
      </c>
      <c r="D21" s="40" t="s">
        <v>133</v>
      </c>
      <c r="E21" s="41"/>
      <c r="F21" s="41"/>
      <c r="G21" s="41"/>
      <c r="H21" s="41"/>
      <c r="I21" s="41"/>
      <c r="J21" s="42"/>
    </row>
    <row r="22">
      <c r="B22" s="26" t="s">
        <v>186</v>
      </c>
      <c r="D22" s="48" t="s">
        <v>4</v>
      </c>
      <c r="E22" s="48" t="s">
        <v>27</v>
      </c>
      <c r="F22" s="48" t="s">
        <v>28</v>
      </c>
      <c r="G22" s="48" t="s">
        <v>29</v>
      </c>
      <c r="H22" s="48" t="s">
        <v>30</v>
      </c>
      <c r="I22" s="48" t="s">
        <v>31</v>
      </c>
      <c r="J22" s="48" t="s">
        <v>32</v>
      </c>
    </row>
    <row r="23">
      <c r="B23" s="26" t="s">
        <v>187</v>
      </c>
      <c r="D23" s="55">
        <v>1.0</v>
      </c>
      <c r="E23" s="56" t="str">
        <f t="array" ref="E23:J34">SORT(CHOOSECOLS(C5:AE16, 1,24,26, 22, 23,25),3,FALSE, 6,FALSE,5, FALSE,4,FALSE)</f>
        <v>K9 ESPORTS</v>
      </c>
      <c r="F23" s="56">
        <v>1.0</v>
      </c>
      <c r="G23" s="56">
        <v>6.0</v>
      </c>
      <c r="H23" s="57">
        <v>39.0</v>
      </c>
      <c r="I23" s="57">
        <v>87.0</v>
      </c>
      <c r="J23" s="58">
        <v>126.0</v>
      </c>
      <c r="K23" s="26" t="s">
        <v>188</v>
      </c>
      <c r="L23" s="190" t="str">
        <f t="shared" ref="L23:L34" si="17">CONCATENATE(K23,F23)</f>
        <v>X1</v>
      </c>
    </row>
    <row r="24">
      <c r="B24" s="26" t="s">
        <v>189</v>
      </c>
      <c r="D24" s="60">
        <v>2.0</v>
      </c>
      <c r="E24" s="61" t="s">
        <v>179</v>
      </c>
      <c r="F24" s="61">
        <v>1.0</v>
      </c>
      <c r="G24" s="61">
        <v>6.0</v>
      </c>
      <c r="H24" s="62">
        <v>49.0</v>
      </c>
      <c r="I24" s="62">
        <v>60.0</v>
      </c>
      <c r="J24" s="63">
        <v>109.0</v>
      </c>
      <c r="K24" s="26" t="s">
        <v>188</v>
      </c>
      <c r="L24" s="190" t="str">
        <f t="shared" si="17"/>
        <v>X1</v>
      </c>
    </row>
    <row r="25">
      <c r="B25" s="26" t="s">
        <v>190</v>
      </c>
      <c r="D25" s="64">
        <v>3.0</v>
      </c>
      <c r="E25" s="65" t="s">
        <v>181</v>
      </c>
      <c r="F25" s="66">
        <v>1.0</v>
      </c>
      <c r="G25" s="66">
        <v>6.0</v>
      </c>
      <c r="H25" s="67">
        <v>37.0</v>
      </c>
      <c r="I25" s="67">
        <v>63.0</v>
      </c>
      <c r="J25" s="68">
        <v>100.0</v>
      </c>
      <c r="K25" s="26" t="s">
        <v>188</v>
      </c>
      <c r="L25" s="190" t="str">
        <f t="shared" si="17"/>
        <v>X1</v>
      </c>
    </row>
    <row r="26">
      <c r="B26" s="26" t="s">
        <v>191</v>
      </c>
      <c r="D26" s="69">
        <v>4.0</v>
      </c>
      <c r="E26" s="70" t="s">
        <v>183</v>
      </c>
      <c r="F26" s="71">
        <v>0.0</v>
      </c>
      <c r="G26" s="71">
        <v>6.0</v>
      </c>
      <c r="H26" s="72">
        <v>33.0</v>
      </c>
      <c r="I26" s="72">
        <v>66.0</v>
      </c>
      <c r="J26" s="73">
        <v>99.0</v>
      </c>
      <c r="K26" s="26" t="s">
        <v>188</v>
      </c>
      <c r="L26" s="190" t="str">
        <f t="shared" si="17"/>
        <v>X0</v>
      </c>
    </row>
    <row r="27">
      <c r="B27" s="26" t="s">
        <v>192</v>
      </c>
      <c r="D27" s="74">
        <v>5.0</v>
      </c>
      <c r="E27" s="75" t="s">
        <v>171</v>
      </c>
      <c r="F27" s="76">
        <v>2.0</v>
      </c>
      <c r="G27" s="76">
        <v>6.0</v>
      </c>
      <c r="H27" s="77">
        <v>48.0</v>
      </c>
      <c r="I27" s="77">
        <v>49.0</v>
      </c>
      <c r="J27" s="78">
        <v>97.0</v>
      </c>
      <c r="K27" s="26" t="s">
        <v>188</v>
      </c>
      <c r="L27" s="190" t="str">
        <f t="shared" si="17"/>
        <v>X2</v>
      </c>
    </row>
    <row r="28">
      <c r="B28" s="26" t="s">
        <v>193</v>
      </c>
      <c r="D28" s="74">
        <v>6.0</v>
      </c>
      <c r="E28" s="75" t="s">
        <v>161</v>
      </c>
      <c r="F28" s="76">
        <v>0.0</v>
      </c>
      <c r="G28" s="76">
        <v>6.0</v>
      </c>
      <c r="H28" s="77">
        <v>30.0</v>
      </c>
      <c r="I28" s="77">
        <v>60.0</v>
      </c>
      <c r="J28" s="78">
        <v>90.0</v>
      </c>
      <c r="K28" s="26" t="s">
        <v>188</v>
      </c>
      <c r="L28" s="190" t="str">
        <f t="shared" si="17"/>
        <v>X0</v>
      </c>
    </row>
    <row r="29">
      <c r="B29" s="26" t="s">
        <v>194</v>
      </c>
      <c r="D29" s="79">
        <v>7.0</v>
      </c>
      <c r="E29" s="80" t="s">
        <v>167</v>
      </c>
      <c r="F29" s="81">
        <v>0.0</v>
      </c>
      <c r="G29" s="81">
        <v>6.0</v>
      </c>
      <c r="H29" s="82">
        <v>30.0</v>
      </c>
      <c r="I29" s="82">
        <v>38.0</v>
      </c>
      <c r="J29" s="83">
        <v>68.0</v>
      </c>
      <c r="K29" s="26" t="s">
        <v>188</v>
      </c>
      <c r="L29" s="190" t="str">
        <f t="shared" si="17"/>
        <v>X0</v>
      </c>
    </row>
    <row r="30">
      <c r="B30" s="26" t="s">
        <v>195</v>
      </c>
      <c r="D30" s="85">
        <v>8.0</v>
      </c>
      <c r="E30" s="86" t="s">
        <v>169</v>
      </c>
      <c r="F30" s="87">
        <v>0.0</v>
      </c>
      <c r="G30" s="87">
        <v>6.0</v>
      </c>
      <c r="H30" s="88">
        <v>18.0</v>
      </c>
      <c r="I30" s="88">
        <v>48.0</v>
      </c>
      <c r="J30" s="89">
        <v>66.0</v>
      </c>
      <c r="K30" s="26" t="s">
        <v>188</v>
      </c>
      <c r="L30" s="190" t="str">
        <f t="shared" si="17"/>
        <v>X0</v>
      </c>
    </row>
    <row r="31">
      <c r="B31" s="26" t="s">
        <v>196</v>
      </c>
      <c r="D31" s="90">
        <v>9.0</v>
      </c>
      <c r="E31" s="91" t="s">
        <v>173</v>
      </c>
      <c r="F31" s="92">
        <v>1.0</v>
      </c>
      <c r="G31" s="92">
        <v>6.0</v>
      </c>
      <c r="H31" s="93">
        <v>21.0</v>
      </c>
      <c r="I31" s="93">
        <v>44.0</v>
      </c>
      <c r="J31" s="94">
        <v>65.0</v>
      </c>
      <c r="K31" s="26" t="s">
        <v>188</v>
      </c>
      <c r="L31" s="190" t="str">
        <f t="shared" si="17"/>
        <v>X1</v>
      </c>
    </row>
    <row r="32">
      <c r="D32" s="90">
        <v>10.0</v>
      </c>
      <c r="E32" s="91" t="s">
        <v>177</v>
      </c>
      <c r="F32" s="92">
        <v>0.0</v>
      </c>
      <c r="G32" s="92">
        <v>6.0</v>
      </c>
      <c r="H32" s="93">
        <v>13.0</v>
      </c>
      <c r="I32" s="93">
        <v>47.0</v>
      </c>
      <c r="J32" s="94">
        <v>60.0</v>
      </c>
      <c r="K32" s="26" t="s">
        <v>188</v>
      </c>
      <c r="L32" s="190" t="str">
        <f t="shared" si="17"/>
        <v>X0</v>
      </c>
    </row>
    <row r="33">
      <c r="D33" s="90">
        <v>11.0</v>
      </c>
      <c r="E33" s="91" t="s">
        <v>165</v>
      </c>
      <c r="F33" s="92">
        <v>0.0</v>
      </c>
      <c r="G33" s="92">
        <v>6.0</v>
      </c>
      <c r="H33" s="93">
        <v>16.0</v>
      </c>
      <c r="I33" s="93">
        <v>40.0</v>
      </c>
      <c r="J33" s="94">
        <v>56.0</v>
      </c>
      <c r="K33" s="26" t="s">
        <v>188</v>
      </c>
      <c r="L33" s="190" t="str">
        <f t="shared" si="17"/>
        <v>X0</v>
      </c>
    </row>
    <row r="34">
      <c r="D34" s="100">
        <v>12.0</v>
      </c>
      <c r="E34" s="101" t="s">
        <v>175</v>
      </c>
      <c r="F34" s="102">
        <v>0.0</v>
      </c>
      <c r="G34" s="102">
        <v>6.0</v>
      </c>
      <c r="H34" s="103">
        <v>8.0</v>
      </c>
      <c r="I34" s="103">
        <v>24.0</v>
      </c>
      <c r="J34" s="104">
        <v>32.0</v>
      </c>
      <c r="K34" s="26" t="s">
        <v>188</v>
      </c>
      <c r="L34" s="190" t="str">
        <f t="shared" si="17"/>
        <v>X0</v>
      </c>
    </row>
  </sheetData>
  <mergeCells count="22">
    <mergeCell ref="R3:S3"/>
    <mergeCell ref="T3:U3"/>
    <mergeCell ref="V3:W3"/>
    <mergeCell ref="X3:AB3"/>
    <mergeCell ref="D3:E3"/>
    <mergeCell ref="F3:G3"/>
    <mergeCell ref="H3:I3"/>
    <mergeCell ref="J3:K3"/>
    <mergeCell ref="L3:M3"/>
    <mergeCell ref="N3:O3"/>
    <mergeCell ref="P3:Q3"/>
    <mergeCell ref="R18:S18"/>
    <mergeCell ref="T18:U18"/>
    <mergeCell ref="V18:W18"/>
    <mergeCell ref="D18:E18"/>
    <mergeCell ref="F18:G18"/>
    <mergeCell ref="H18:I18"/>
    <mergeCell ref="J18:K18"/>
    <mergeCell ref="L18:M18"/>
    <mergeCell ref="N18:O18"/>
    <mergeCell ref="P18:Q18"/>
    <mergeCell ref="D21:J2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3" max="3" width="14.25"/>
    <col hidden="1" min="24" max="28" width="12.63"/>
  </cols>
  <sheetData>
    <row r="3">
      <c r="A3" s="139"/>
      <c r="B3" s="155"/>
      <c r="C3" s="156"/>
      <c r="D3" s="155" t="s">
        <v>0</v>
      </c>
      <c r="E3" s="157"/>
      <c r="F3" s="155" t="s">
        <v>1</v>
      </c>
      <c r="G3" s="157"/>
      <c r="H3" s="155" t="s">
        <v>2</v>
      </c>
      <c r="I3" s="157"/>
      <c r="J3" s="155" t="s">
        <v>3</v>
      </c>
      <c r="K3" s="157"/>
      <c r="L3" s="155" t="s">
        <v>23</v>
      </c>
      <c r="M3" s="157"/>
      <c r="N3" s="155" t="s">
        <v>24</v>
      </c>
      <c r="O3" s="157"/>
      <c r="P3" s="155" t="s">
        <v>156</v>
      </c>
      <c r="Q3" s="157"/>
      <c r="R3" s="155" t="s">
        <v>157</v>
      </c>
      <c r="S3" s="157"/>
      <c r="T3" s="155" t="s">
        <v>158</v>
      </c>
      <c r="U3" s="157"/>
      <c r="V3" s="155" t="s">
        <v>159</v>
      </c>
      <c r="W3" s="157"/>
      <c r="X3" s="155" t="s">
        <v>32</v>
      </c>
      <c r="Y3" s="158"/>
      <c r="Z3" s="158"/>
      <c r="AA3" s="158"/>
      <c r="AB3" s="157"/>
    </row>
    <row r="4">
      <c r="A4" s="159" t="s">
        <v>4</v>
      </c>
      <c r="B4" s="160" t="s">
        <v>5</v>
      </c>
      <c r="C4" s="161" t="s">
        <v>27</v>
      </c>
      <c r="D4" s="162" t="s">
        <v>6</v>
      </c>
      <c r="E4" s="163" t="s">
        <v>7</v>
      </c>
      <c r="F4" s="162" t="s">
        <v>6</v>
      </c>
      <c r="G4" s="163" t="s">
        <v>7</v>
      </c>
      <c r="H4" s="162" t="s">
        <v>6</v>
      </c>
      <c r="I4" s="163" t="s">
        <v>7</v>
      </c>
      <c r="J4" s="162" t="s">
        <v>6</v>
      </c>
      <c r="K4" s="163" t="s">
        <v>7</v>
      </c>
      <c r="L4" s="162" t="s">
        <v>6</v>
      </c>
      <c r="M4" s="163" t="s">
        <v>7</v>
      </c>
      <c r="N4" s="162" t="s">
        <v>6</v>
      </c>
      <c r="O4" s="163" t="s">
        <v>7</v>
      </c>
      <c r="P4" s="162" t="s">
        <v>6</v>
      </c>
      <c r="Q4" s="163" t="s">
        <v>7</v>
      </c>
      <c r="R4" s="162" t="s">
        <v>6</v>
      </c>
      <c r="S4" s="163" t="s">
        <v>7</v>
      </c>
      <c r="T4" s="162" t="s">
        <v>6</v>
      </c>
      <c r="U4" s="163" t="s">
        <v>7</v>
      </c>
      <c r="V4" s="162" t="s">
        <v>6</v>
      </c>
      <c r="W4" s="163" t="s">
        <v>7</v>
      </c>
      <c r="X4" s="162" t="s">
        <v>6</v>
      </c>
      <c r="Y4" s="164" t="s">
        <v>7</v>
      </c>
      <c r="Z4" s="164" t="s">
        <v>28</v>
      </c>
      <c r="AA4" s="164" t="s">
        <v>32</v>
      </c>
      <c r="AB4" s="163" t="s">
        <v>29</v>
      </c>
    </row>
    <row r="5">
      <c r="A5" s="165">
        <f t="array" ref="A5:A16">SEQUENCE(12,1)</f>
        <v>1</v>
      </c>
      <c r="B5" s="166" t="s">
        <v>172</v>
      </c>
      <c r="C5" s="167" t="s">
        <v>173</v>
      </c>
      <c r="D5" s="166">
        <v>0.0</v>
      </c>
      <c r="E5" s="168">
        <v>1.0</v>
      </c>
      <c r="F5" s="166">
        <v>1.0</v>
      </c>
      <c r="G5" s="168">
        <v>5.0</v>
      </c>
      <c r="H5" s="166">
        <v>2.0</v>
      </c>
      <c r="I5" s="168">
        <v>4.0</v>
      </c>
      <c r="J5" s="166">
        <v>3.0</v>
      </c>
      <c r="K5" s="168">
        <v>5.0</v>
      </c>
      <c r="L5" s="166">
        <v>3.0</v>
      </c>
      <c r="M5" s="168">
        <v>10.0</v>
      </c>
      <c r="N5" s="166">
        <v>5.0</v>
      </c>
      <c r="O5" s="168">
        <v>8.0</v>
      </c>
      <c r="P5" s="166"/>
      <c r="Q5" s="168"/>
      <c r="R5" s="166"/>
      <c r="S5" s="168"/>
      <c r="T5" s="166"/>
      <c r="U5" s="168"/>
      <c r="V5" s="166"/>
      <c r="W5" s="168"/>
      <c r="X5" s="166">
        <f t="shared" ref="X5:Y5" si="1">D5+F5+H5+J5+L5+N5+P5+R5+T5+V5</f>
        <v>14</v>
      </c>
      <c r="Y5" s="12">
        <f t="shared" si="1"/>
        <v>33</v>
      </c>
      <c r="Z5" s="169">
        <f t="shared" ref="Z5:Z16" si="3">IF(D5=12, 1, 0) + IF(F5=12, 1, 0) + IF(H5=12, 1, 0) + IF(J5=12, 1, 0)+IF(L5=12, 1, 0)+IF(N5=12, 1, 0)+IF(P5=12, 1, 0)+IF(R5=12, 1, 0)+IF(T5=12, 1, 0)+IF(V5=12, 1, 0)</f>
        <v>0</v>
      </c>
      <c r="AA5" s="169">
        <f t="shared" ref="AA5:AA16" si="4">SUM(X5:Y5)</f>
        <v>47</v>
      </c>
      <c r="AB5" s="168">
        <f t="shared" ref="AB5:AB16" si="5">COUNTA(D5,F5,H5,J5,L5,N5,P5,R5,T5,V5)</f>
        <v>6</v>
      </c>
    </row>
    <row r="6">
      <c r="A6" s="170">
        <v>2.0</v>
      </c>
      <c r="B6" s="171" t="s">
        <v>197</v>
      </c>
      <c r="C6" s="172" t="s">
        <v>198</v>
      </c>
      <c r="D6" s="171">
        <v>12.0</v>
      </c>
      <c r="E6" s="173">
        <v>18.0</v>
      </c>
      <c r="F6" s="171">
        <v>4.0</v>
      </c>
      <c r="G6" s="173">
        <v>11.0</v>
      </c>
      <c r="H6" s="171">
        <v>9.0</v>
      </c>
      <c r="I6" s="173">
        <v>12.0</v>
      </c>
      <c r="J6" s="171">
        <v>7.0</v>
      </c>
      <c r="K6" s="173">
        <v>4.0</v>
      </c>
      <c r="L6" s="171">
        <v>12.0</v>
      </c>
      <c r="M6" s="173">
        <v>30.0</v>
      </c>
      <c r="N6" s="171">
        <v>7.0</v>
      </c>
      <c r="O6" s="173">
        <v>9.0</v>
      </c>
      <c r="P6" s="171"/>
      <c r="Q6" s="173"/>
      <c r="R6" s="171"/>
      <c r="S6" s="173"/>
      <c r="T6" s="171"/>
      <c r="U6" s="173"/>
      <c r="V6" s="171"/>
      <c r="W6" s="173"/>
      <c r="X6" s="166">
        <f t="shared" ref="X6:Y6" si="2">D6+F6+H6+J6+L6+N6+P6+R6+T6+V6</f>
        <v>51</v>
      </c>
      <c r="Y6" s="12">
        <f t="shared" si="2"/>
        <v>84</v>
      </c>
      <c r="Z6" s="169">
        <f t="shared" si="3"/>
        <v>2</v>
      </c>
      <c r="AA6" s="169">
        <f t="shared" si="4"/>
        <v>135</v>
      </c>
      <c r="AB6" s="168">
        <f t="shared" si="5"/>
        <v>6</v>
      </c>
    </row>
    <row r="7">
      <c r="A7" s="170">
        <v>3.0</v>
      </c>
      <c r="B7" s="171" t="s">
        <v>199</v>
      </c>
      <c r="C7" s="172" t="s">
        <v>200</v>
      </c>
      <c r="D7" s="171">
        <v>9.0</v>
      </c>
      <c r="E7" s="173">
        <v>12.0</v>
      </c>
      <c r="F7" s="171">
        <v>6.0</v>
      </c>
      <c r="G7" s="173">
        <v>9.0</v>
      </c>
      <c r="H7" s="171">
        <v>8.0</v>
      </c>
      <c r="I7" s="173">
        <v>9.0</v>
      </c>
      <c r="J7" s="171">
        <v>9.0</v>
      </c>
      <c r="K7" s="173">
        <v>16.0</v>
      </c>
      <c r="L7" s="171">
        <v>4.0</v>
      </c>
      <c r="M7" s="173">
        <v>16.0</v>
      </c>
      <c r="N7" s="171">
        <v>12.0</v>
      </c>
      <c r="O7" s="173">
        <v>18.0</v>
      </c>
      <c r="P7" s="171"/>
      <c r="Q7" s="173"/>
      <c r="R7" s="171"/>
      <c r="S7" s="173"/>
      <c r="T7" s="171"/>
      <c r="U7" s="173"/>
      <c r="V7" s="171"/>
      <c r="W7" s="173"/>
      <c r="X7" s="166">
        <f t="shared" ref="X7:Y7" si="6">D7+F7+H7+J7+L7+N7+P7+R7+T7+V7</f>
        <v>48</v>
      </c>
      <c r="Y7" s="12">
        <f t="shared" si="6"/>
        <v>80</v>
      </c>
      <c r="Z7" s="169">
        <f t="shared" si="3"/>
        <v>1</v>
      </c>
      <c r="AA7" s="169">
        <f t="shared" si="4"/>
        <v>128</v>
      </c>
      <c r="AB7" s="168">
        <f t="shared" si="5"/>
        <v>6</v>
      </c>
    </row>
    <row r="8">
      <c r="A8" s="170">
        <v>4.0</v>
      </c>
      <c r="B8" s="174" t="s">
        <v>201</v>
      </c>
      <c r="C8" s="175" t="s">
        <v>202</v>
      </c>
      <c r="D8" s="171">
        <v>6.0</v>
      </c>
      <c r="E8" s="176">
        <v>9.0</v>
      </c>
      <c r="F8" s="171">
        <v>5.0</v>
      </c>
      <c r="G8" s="176">
        <v>14.0</v>
      </c>
      <c r="H8" s="171">
        <v>4.0</v>
      </c>
      <c r="I8" s="176">
        <v>0.0</v>
      </c>
      <c r="J8" s="171">
        <v>5.0</v>
      </c>
      <c r="K8" s="176">
        <v>15.0</v>
      </c>
      <c r="L8" s="171">
        <v>8.0</v>
      </c>
      <c r="M8" s="176">
        <v>14.0</v>
      </c>
      <c r="N8" s="171">
        <v>2.0</v>
      </c>
      <c r="O8" s="176">
        <v>2.0</v>
      </c>
      <c r="P8" s="171"/>
      <c r="Q8" s="176"/>
      <c r="R8" s="171"/>
      <c r="S8" s="176"/>
      <c r="T8" s="171"/>
      <c r="U8" s="176"/>
      <c r="V8" s="171"/>
      <c r="W8" s="176"/>
      <c r="X8" s="166">
        <f t="shared" ref="X8:Y8" si="7">D8+F8+H8+J8+L8+N8+P8+R8+T8+V8</f>
        <v>30</v>
      </c>
      <c r="Y8" s="12">
        <f t="shared" si="7"/>
        <v>54</v>
      </c>
      <c r="Z8" s="169">
        <f t="shared" si="3"/>
        <v>0</v>
      </c>
      <c r="AA8" s="169">
        <f t="shared" si="4"/>
        <v>84</v>
      </c>
      <c r="AB8" s="168">
        <f t="shared" si="5"/>
        <v>6</v>
      </c>
    </row>
    <row r="9">
      <c r="A9" s="170">
        <v>5.0</v>
      </c>
      <c r="B9" s="171" t="s">
        <v>203</v>
      </c>
      <c r="C9" s="172" t="s">
        <v>204</v>
      </c>
      <c r="D9" s="171">
        <v>5.0</v>
      </c>
      <c r="E9" s="173">
        <v>5.0</v>
      </c>
      <c r="F9" s="171">
        <v>3.0</v>
      </c>
      <c r="G9" s="173">
        <v>7.0</v>
      </c>
      <c r="H9" s="171">
        <v>0.0</v>
      </c>
      <c r="I9" s="173">
        <v>0.0</v>
      </c>
      <c r="J9" s="171">
        <v>0.0</v>
      </c>
      <c r="K9" s="173">
        <v>0.0</v>
      </c>
      <c r="L9" s="171">
        <v>0.0</v>
      </c>
      <c r="M9" s="173">
        <v>0.0</v>
      </c>
      <c r="N9" s="171">
        <v>0.0</v>
      </c>
      <c r="O9" s="173">
        <v>0.0</v>
      </c>
      <c r="P9" s="171"/>
      <c r="Q9" s="173"/>
      <c r="R9" s="171"/>
      <c r="S9" s="173"/>
      <c r="T9" s="171"/>
      <c r="U9" s="173"/>
      <c r="V9" s="171"/>
      <c r="W9" s="173"/>
      <c r="X9" s="166">
        <f t="shared" ref="X9:Y9" si="8">D9+F9+H9+J9+L9+N9+P9+R9+T9+V9</f>
        <v>8</v>
      </c>
      <c r="Y9" s="12">
        <f t="shared" si="8"/>
        <v>12</v>
      </c>
      <c r="Z9" s="169">
        <f t="shared" si="3"/>
        <v>0</v>
      </c>
      <c r="AA9" s="169">
        <f t="shared" si="4"/>
        <v>20</v>
      </c>
      <c r="AB9" s="168">
        <f t="shared" si="5"/>
        <v>6</v>
      </c>
    </row>
    <row r="10">
      <c r="A10" s="170">
        <v>6.0</v>
      </c>
      <c r="B10" s="171" t="s">
        <v>170</v>
      </c>
      <c r="C10" s="172" t="s">
        <v>205</v>
      </c>
      <c r="D10" s="171">
        <v>8.0</v>
      </c>
      <c r="E10" s="173">
        <v>18.0</v>
      </c>
      <c r="F10" s="171">
        <v>8.0</v>
      </c>
      <c r="G10" s="173">
        <v>15.0</v>
      </c>
      <c r="H10" s="171">
        <v>12.0</v>
      </c>
      <c r="I10" s="173">
        <v>29.0</v>
      </c>
      <c r="J10" s="171">
        <v>12.0</v>
      </c>
      <c r="K10" s="173">
        <v>13.0</v>
      </c>
      <c r="L10" s="171">
        <v>7.0</v>
      </c>
      <c r="M10" s="173">
        <v>9.0</v>
      </c>
      <c r="N10" s="171">
        <v>8.0</v>
      </c>
      <c r="O10" s="173">
        <v>23.0</v>
      </c>
      <c r="P10" s="171"/>
      <c r="Q10" s="173"/>
      <c r="R10" s="171"/>
      <c r="S10" s="173"/>
      <c r="T10" s="171"/>
      <c r="U10" s="173"/>
      <c r="V10" s="171"/>
      <c r="W10" s="173"/>
      <c r="X10" s="166">
        <f t="shared" ref="X10:Y10" si="9">D10+F10+H10+J10+L10+N10+P10+R10+T10+V10</f>
        <v>55</v>
      </c>
      <c r="Y10" s="12">
        <f t="shared" si="9"/>
        <v>107</v>
      </c>
      <c r="Z10" s="169">
        <f t="shared" si="3"/>
        <v>2</v>
      </c>
      <c r="AA10" s="169">
        <f t="shared" si="4"/>
        <v>162</v>
      </c>
      <c r="AB10" s="168">
        <f t="shared" si="5"/>
        <v>6</v>
      </c>
    </row>
    <row r="11">
      <c r="A11" s="170">
        <v>7.0</v>
      </c>
      <c r="B11" s="171" t="s">
        <v>206</v>
      </c>
      <c r="C11" s="172" t="s">
        <v>207</v>
      </c>
      <c r="D11" s="171">
        <v>3.0</v>
      </c>
      <c r="E11" s="176">
        <v>8.0</v>
      </c>
      <c r="F11" s="171">
        <v>7.0</v>
      </c>
      <c r="G11" s="176">
        <v>1.0</v>
      </c>
      <c r="H11" s="171">
        <v>7.0</v>
      </c>
      <c r="I11" s="176">
        <v>5.0</v>
      </c>
      <c r="J11" s="171">
        <v>4.0</v>
      </c>
      <c r="K11" s="176">
        <v>5.0</v>
      </c>
      <c r="L11" s="171">
        <v>9.0</v>
      </c>
      <c r="M11" s="176">
        <v>8.0</v>
      </c>
      <c r="N11" s="171">
        <v>3.0</v>
      </c>
      <c r="O11" s="176">
        <v>15.0</v>
      </c>
      <c r="P11" s="171"/>
      <c r="Q11" s="176"/>
      <c r="R11" s="171"/>
      <c r="S11" s="176"/>
      <c r="T11" s="171"/>
      <c r="U11" s="176"/>
      <c r="V11" s="171"/>
      <c r="W11" s="176"/>
      <c r="X11" s="166">
        <f t="shared" ref="X11:Y11" si="10">D11+F11+H11+J11+L11+N11+P11+R11+T11+V11</f>
        <v>33</v>
      </c>
      <c r="Y11" s="12">
        <f t="shared" si="10"/>
        <v>42</v>
      </c>
      <c r="Z11" s="169">
        <f t="shared" si="3"/>
        <v>0</v>
      </c>
      <c r="AA11" s="169">
        <f t="shared" si="4"/>
        <v>75</v>
      </c>
      <c r="AB11" s="168">
        <f t="shared" si="5"/>
        <v>6</v>
      </c>
    </row>
    <row r="12">
      <c r="A12" s="170">
        <v>8.0</v>
      </c>
      <c r="B12" s="171"/>
      <c r="C12" s="172" t="s">
        <v>208</v>
      </c>
      <c r="D12" s="171">
        <v>2.0</v>
      </c>
      <c r="E12" s="173">
        <v>3.0</v>
      </c>
      <c r="F12" s="171">
        <v>0.0</v>
      </c>
      <c r="G12" s="173">
        <v>0.0</v>
      </c>
      <c r="H12" s="171">
        <v>0.0</v>
      </c>
      <c r="I12" s="173">
        <v>0.0</v>
      </c>
      <c r="J12" s="171">
        <v>0.0</v>
      </c>
      <c r="K12" s="173">
        <v>0.0</v>
      </c>
      <c r="L12" s="171">
        <v>0.0</v>
      </c>
      <c r="M12" s="173">
        <v>0.0</v>
      </c>
      <c r="N12" s="171">
        <v>0.0</v>
      </c>
      <c r="O12" s="173">
        <v>0.0</v>
      </c>
      <c r="P12" s="171"/>
      <c r="Q12" s="173"/>
      <c r="R12" s="171"/>
      <c r="S12" s="173"/>
      <c r="T12" s="171"/>
      <c r="U12" s="173"/>
      <c r="V12" s="171"/>
      <c r="W12" s="173"/>
      <c r="X12" s="166">
        <f t="shared" ref="X12:Y12" si="11">D12+F12+H12+J12+L12+N12+P12+R12+T12+V12</f>
        <v>2</v>
      </c>
      <c r="Y12" s="12">
        <f t="shared" si="11"/>
        <v>3</v>
      </c>
      <c r="Z12" s="169">
        <f t="shared" si="3"/>
        <v>0</v>
      </c>
      <c r="AA12" s="169">
        <f t="shared" si="4"/>
        <v>5</v>
      </c>
      <c r="AB12" s="168">
        <f t="shared" si="5"/>
        <v>6</v>
      </c>
    </row>
    <row r="13">
      <c r="A13" s="170">
        <v>9.0</v>
      </c>
      <c r="B13" s="166" t="s">
        <v>209</v>
      </c>
      <c r="C13" s="167" t="s">
        <v>210</v>
      </c>
      <c r="D13" s="171">
        <v>4.0</v>
      </c>
      <c r="E13" s="173">
        <v>2.0</v>
      </c>
      <c r="F13" s="171">
        <v>0.0</v>
      </c>
      <c r="G13" s="173">
        <v>0.0</v>
      </c>
      <c r="H13" s="171">
        <v>1.0</v>
      </c>
      <c r="I13" s="173">
        <v>0.0</v>
      </c>
      <c r="J13" s="171">
        <v>1.0</v>
      </c>
      <c r="K13" s="173">
        <v>0.0</v>
      </c>
      <c r="L13" s="171">
        <v>5.0</v>
      </c>
      <c r="M13" s="173">
        <v>3.0</v>
      </c>
      <c r="N13" s="171">
        <v>4.0</v>
      </c>
      <c r="O13" s="173">
        <v>0.0</v>
      </c>
      <c r="P13" s="171"/>
      <c r="Q13" s="173"/>
      <c r="R13" s="171"/>
      <c r="S13" s="173"/>
      <c r="T13" s="171"/>
      <c r="U13" s="173"/>
      <c r="V13" s="171"/>
      <c r="W13" s="173"/>
      <c r="X13" s="166">
        <f t="shared" ref="X13:Y13" si="12">D13+F13+H13+J13+L13+N13+P13+R13+T13+V13</f>
        <v>15</v>
      </c>
      <c r="Y13" s="12">
        <f t="shared" si="12"/>
        <v>5</v>
      </c>
      <c r="Z13" s="169">
        <f t="shared" si="3"/>
        <v>0</v>
      </c>
      <c r="AA13" s="169">
        <f t="shared" si="4"/>
        <v>20</v>
      </c>
      <c r="AB13" s="168">
        <f t="shared" si="5"/>
        <v>6</v>
      </c>
    </row>
    <row r="14">
      <c r="A14" s="170">
        <v>10.0</v>
      </c>
      <c r="B14" s="171" t="s">
        <v>211</v>
      </c>
      <c r="C14" s="172" t="s">
        <v>212</v>
      </c>
      <c r="D14" s="171">
        <v>1.0</v>
      </c>
      <c r="E14" s="176">
        <v>0.0</v>
      </c>
      <c r="F14" s="171">
        <v>12.0</v>
      </c>
      <c r="G14" s="176">
        <v>16.0</v>
      </c>
      <c r="H14" s="171">
        <v>6.0</v>
      </c>
      <c r="I14" s="176">
        <v>6.0</v>
      </c>
      <c r="J14" s="171">
        <v>6.0</v>
      </c>
      <c r="K14" s="176">
        <v>11.0</v>
      </c>
      <c r="L14" s="171">
        <v>1.0</v>
      </c>
      <c r="M14" s="176">
        <v>4.0</v>
      </c>
      <c r="N14" s="171">
        <v>0.0</v>
      </c>
      <c r="O14" s="176">
        <v>0.0</v>
      </c>
      <c r="P14" s="171"/>
      <c r="Q14" s="176"/>
      <c r="R14" s="171"/>
      <c r="S14" s="176"/>
      <c r="T14" s="171"/>
      <c r="U14" s="176"/>
      <c r="V14" s="171"/>
      <c r="W14" s="176"/>
      <c r="X14" s="166">
        <f t="shared" ref="X14:Y14" si="13">D14+F14+H14+J14+L14+N14+P14+R14+T14+V14</f>
        <v>26</v>
      </c>
      <c r="Y14" s="12">
        <f t="shared" si="13"/>
        <v>37</v>
      </c>
      <c r="Z14" s="169">
        <f t="shared" si="3"/>
        <v>1</v>
      </c>
      <c r="AA14" s="169">
        <f t="shared" si="4"/>
        <v>63</v>
      </c>
      <c r="AB14" s="168">
        <f t="shared" si="5"/>
        <v>6</v>
      </c>
    </row>
    <row r="15">
      <c r="A15" s="170">
        <v>11.0</v>
      </c>
      <c r="B15" s="171" t="s">
        <v>213</v>
      </c>
      <c r="C15" s="172" t="s">
        <v>214</v>
      </c>
      <c r="D15" s="171">
        <v>7.0</v>
      </c>
      <c r="E15" s="173">
        <v>7.0</v>
      </c>
      <c r="F15" s="171">
        <v>9.0</v>
      </c>
      <c r="G15" s="173">
        <v>11.0</v>
      </c>
      <c r="H15" s="171">
        <v>3.0</v>
      </c>
      <c r="I15" s="173">
        <v>0.0</v>
      </c>
      <c r="J15" s="171">
        <v>8.0</v>
      </c>
      <c r="K15" s="173">
        <v>18.0</v>
      </c>
      <c r="L15" s="171">
        <v>6.0</v>
      </c>
      <c r="M15" s="173">
        <v>16.0</v>
      </c>
      <c r="N15" s="171">
        <v>6.0</v>
      </c>
      <c r="O15" s="173">
        <v>15.0</v>
      </c>
      <c r="P15" s="171"/>
      <c r="Q15" s="173"/>
      <c r="R15" s="171"/>
      <c r="S15" s="173"/>
      <c r="T15" s="171"/>
      <c r="U15" s="173"/>
      <c r="V15" s="171"/>
      <c r="W15" s="173"/>
      <c r="X15" s="166">
        <f t="shared" ref="X15:Y15" si="14">D15+F15+H15+J15+L15+N15+P15+R15+T15+V15</f>
        <v>39</v>
      </c>
      <c r="Y15" s="12">
        <f t="shared" si="14"/>
        <v>67</v>
      </c>
      <c r="Z15" s="169">
        <f t="shared" si="3"/>
        <v>0</v>
      </c>
      <c r="AA15" s="169">
        <f t="shared" si="4"/>
        <v>106</v>
      </c>
      <c r="AB15" s="168">
        <f t="shared" si="5"/>
        <v>6</v>
      </c>
    </row>
    <row r="16">
      <c r="A16" s="177">
        <v>12.0</v>
      </c>
      <c r="B16" s="178" t="s">
        <v>215</v>
      </c>
      <c r="C16" s="179" t="s">
        <v>216</v>
      </c>
      <c r="D16" s="180">
        <v>0.0</v>
      </c>
      <c r="E16" s="181">
        <v>3.0</v>
      </c>
      <c r="F16" s="178">
        <v>2.0</v>
      </c>
      <c r="G16" s="182">
        <v>0.0</v>
      </c>
      <c r="H16" s="178">
        <v>5.0</v>
      </c>
      <c r="I16" s="182">
        <v>6.0</v>
      </c>
      <c r="J16" s="178">
        <v>2.0</v>
      </c>
      <c r="K16" s="182">
        <v>5.0</v>
      </c>
      <c r="L16" s="178">
        <v>2.0</v>
      </c>
      <c r="M16" s="182">
        <v>2.0</v>
      </c>
      <c r="N16" s="178">
        <v>9.0</v>
      </c>
      <c r="O16" s="182">
        <v>4.0</v>
      </c>
      <c r="P16" s="178"/>
      <c r="Q16" s="182"/>
      <c r="R16" s="178"/>
      <c r="S16" s="182"/>
      <c r="T16" s="178"/>
      <c r="U16" s="182"/>
      <c r="V16" s="178"/>
      <c r="W16" s="182"/>
      <c r="X16" s="183">
        <f t="shared" ref="X16:Y16" si="15">D16+F16+H16+J16+L16+N16+P16+R16+T16+V16</f>
        <v>20</v>
      </c>
      <c r="Y16" s="184">
        <f t="shared" si="15"/>
        <v>20</v>
      </c>
      <c r="Z16" s="185">
        <f t="shared" si="3"/>
        <v>0</v>
      </c>
      <c r="AA16" s="185">
        <f t="shared" si="4"/>
        <v>40</v>
      </c>
      <c r="AB16" s="186">
        <f t="shared" si="5"/>
        <v>6</v>
      </c>
    </row>
    <row r="17">
      <c r="D17" s="187">
        <f t="shared" ref="D17:W17" si="16">SUM(D5:D16)</f>
        <v>57</v>
      </c>
      <c r="E17" s="187">
        <f t="shared" si="16"/>
        <v>86</v>
      </c>
      <c r="F17" s="187">
        <f t="shared" si="16"/>
        <v>57</v>
      </c>
      <c r="G17" s="187">
        <f t="shared" si="16"/>
        <v>89</v>
      </c>
      <c r="H17" s="187">
        <f t="shared" si="16"/>
        <v>57</v>
      </c>
      <c r="I17" s="187">
        <f t="shared" si="16"/>
        <v>71</v>
      </c>
      <c r="J17" s="187">
        <f t="shared" si="16"/>
        <v>57</v>
      </c>
      <c r="K17" s="187">
        <f t="shared" si="16"/>
        <v>92</v>
      </c>
      <c r="L17" s="187">
        <f t="shared" si="16"/>
        <v>57</v>
      </c>
      <c r="M17" s="187">
        <f t="shared" si="16"/>
        <v>112</v>
      </c>
      <c r="N17" s="187">
        <f t="shared" si="16"/>
        <v>56</v>
      </c>
      <c r="O17" s="187">
        <f t="shared" si="16"/>
        <v>94</v>
      </c>
      <c r="P17" s="187">
        <f t="shared" si="16"/>
        <v>0</v>
      </c>
      <c r="Q17" s="187">
        <f t="shared" si="16"/>
        <v>0</v>
      </c>
      <c r="R17" s="187">
        <f t="shared" si="16"/>
        <v>0</v>
      </c>
      <c r="S17" s="187">
        <f t="shared" si="16"/>
        <v>0</v>
      </c>
      <c r="T17" s="187">
        <f t="shared" si="16"/>
        <v>0</v>
      </c>
      <c r="U17" s="187">
        <f t="shared" si="16"/>
        <v>0</v>
      </c>
      <c r="V17" s="187">
        <f t="shared" si="16"/>
        <v>0</v>
      </c>
      <c r="W17" s="188">
        <f t="shared" si="16"/>
        <v>0</v>
      </c>
      <c r="X17" s="5"/>
      <c r="AA17" s="13"/>
      <c r="AB17" s="13"/>
    </row>
    <row r="18">
      <c r="D18" s="188">
        <f>SUM(D17:E17)</f>
        <v>143</v>
      </c>
      <c r="E18" s="189"/>
      <c r="F18" s="188">
        <f>SUM(F17:G17)</f>
        <v>146</v>
      </c>
      <c r="G18" s="189"/>
      <c r="H18" s="188">
        <f>SUM(H17:I17)</f>
        <v>128</v>
      </c>
      <c r="I18" s="189"/>
      <c r="J18" s="188">
        <f>SUM(J17:K17)</f>
        <v>149</v>
      </c>
      <c r="K18" s="189"/>
      <c r="L18" s="188">
        <f>SUM(L17:M17)</f>
        <v>169</v>
      </c>
      <c r="M18" s="189"/>
      <c r="N18" s="188">
        <f>SUM(N17:O17)</f>
        <v>150</v>
      </c>
      <c r="O18" s="189"/>
      <c r="P18" s="188">
        <f>SUM(P17:Q17)</f>
        <v>0</v>
      </c>
      <c r="Q18" s="189"/>
      <c r="R18" s="188">
        <f>SUM(R17:S17)</f>
        <v>0</v>
      </c>
      <c r="S18" s="189"/>
      <c r="T18" s="188">
        <f>SUM(T17:U17)</f>
        <v>0</v>
      </c>
      <c r="U18" s="189"/>
      <c r="V18" s="188">
        <f>SUM(V17:W17)</f>
        <v>0</v>
      </c>
      <c r="W18" s="189"/>
      <c r="X18" s="5"/>
      <c r="AA18" s="13"/>
      <c r="AB18" s="13"/>
    </row>
    <row r="21">
      <c r="D21" s="40" t="s">
        <v>133</v>
      </c>
      <c r="E21" s="41"/>
      <c r="F21" s="41"/>
      <c r="G21" s="41"/>
      <c r="H21" s="41"/>
      <c r="I21" s="41"/>
      <c r="J21" s="42"/>
    </row>
    <row r="22">
      <c r="D22" s="48" t="s">
        <v>4</v>
      </c>
      <c r="E22" s="48" t="s">
        <v>27</v>
      </c>
      <c r="F22" s="48" t="s">
        <v>28</v>
      </c>
      <c r="G22" s="48" t="s">
        <v>29</v>
      </c>
      <c r="H22" s="48" t="s">
        <v>30</v>
      </c>
      <c r="I22" s="48" t="s">
        <v>31</v>
      </c>
      <c r="J22" s="48" t="s">
        <v>32</v>
      </c>
    </row>
    <row r="23">
      <c r="D23" s="55">
        <v>1.0</v>
      </c>
      <c r="E23" s="56" t="str">
        <f t="array" ref="E23:J34">SORT(CHOOSECOLS(C5:AE16, 1,24,26, 22, 23,25),3,FALSE, 6,FALSE,5, FALSE,4,FALSE)</f>
        <v>HEX ESPORTS</v>
      </c>
      <c r="F23" s="56">
        <v>2.0</v>
      </c>
      <c r="G23" s="56">
        <v>6.0</v>
      </c>
      <c r="H23" s="57">
        <v>55.0</v>
      </c>
      <c r="I23" s="57">
        <v>107.0</v>
      </c>
      <c r="J23" s="58">
        <v>162.0</v>
      </c>
      <c r="K23" s="26" t="s">
        <v>188</v>
      </c>
      <c r="L23" s="190" t="str">
        <f t="shared" ref="L23:L34" si="17">CONCATENATE(K23,F23)</f>
        <v>X2</v>
      </c>
    </row>
    <row r="24">
      <c r="D24" s="60">
        <v>2.0</v>
      </c>
      <c r="E24" s="61" t="s">
        <v>198</v>
      </c>
      <c r="F24" s="61">
        <v>2.0</v>
      </c>
      <c r="G24" s="61">
        <v>6.0</v>
      </c>
      <c r="H24" s="62">
        <v>51.0</v>
      </c>
      <c r="I24" s="62">
        <v>84.0</v>
      </c>
      <c r="J24" s="63">
        <v>135.0</v>
      </c>
      <c r="K24" s="26" t="s">
        <v>188</v>
      </c>
      <c r="L24" s="190" t="str">
        <f t="shared" si="17"/>
        <v>X2</v>
      </c>
    </row>
    <row r="25">
      <c r="D25" s="64">
        <v>3.0</v>
      </c>
      <c r="E25" s="65" t="s">
        <v>200</v>
      </c>
      <c r="F25" s="66">
        <v>1.0</v>
      </c>
      <c r="G25" s="66">
        <v>6.0</v>
      </c>
      <c r="H25" s="67">
        <v>48.0</v>
      </c>
      <c r="I25" s="67">
        <v>80.0</v>
      </c>
      <c r="J25" s="68">
        <v>128.0</v>
      </c>
      <c r="K25" s="26" t="s">
        <v>188</v>
      </c>
      <c r="L25" s="190" t="str">
        <f t="shared" si="17"/>
        <v>X1</v>
      </c>
    </row>
    <row r="26">
      <c r="D26" s="69">
        <v>4.0</v>
      </c>
      <c r="E26" s="70" t="s">
        <v>214</v>
      </c>
      <c r="F26" s="71">
        <v>0.0</v>
      </c>
      <c r="G26" s="71">
        <v>6.0</v>
      </c>
      <c r="H26" s="72">
        <v>39.0</v>
      </c>
      <c r="I26" s="72">
        <v>67.0</v>
      </c>
      <c r="J26" s="73">
        <v>106.0</v>
      </c>
      <c r="K26" s="26" t="s">
        <v>188</v>
      </c>
      <c r="L26" s="190" t="str">
        <f t="shared" si="17"/>
        <v>X0</v>
      </c>
    </row>
    <row r="27">
      <c r="D27" s="74">
        <v>5.0</v>
      </c>
      <c r="E27" s="75" t="s">
        <v>202</v>
      </c>
      <c r="F27" s="76">
        <v>0.0</v>
      </c>
      <c r="G27" s="76">
        <v>6.0</v>
      </c>
      <c r="H27" s="77">
        <v>30.0</v>
      </c>
      <c r="I27" s="77">
        <v>54.0</v>
      </c>
      <c r="J27" s="78">
        <v>84.0</v>
      </c>
      <c r="K27" s="26" t="s">
        <v>188</v>
      </c>
      <c r="L27" s="190" t="str">
        <f t="shared" si="17"/>
        <v>X0</v>
      </c>
    </row>
    <row r="28">
      <c r="D28" s="74">
        <v>6.0</v>
      </c>
      <c r="E28" s="75" t="s">
        <v>207</v>
      </c>
      <c r="F28" s="76">
        <v>0.0</v>
      </c>
      <c r="G28" s="76">
        <v>6.0</v>
      </c>
      <c r="H28" s="77">
        <v>33.0</v>
      </c>
      <c r="I28" s="77">
        <v>42.0</v>
      </c>
      <c r="J28" s="78">
        <v>75.0</v>
      </c>
      <c r="K28" s="26" t="s">
        <v>188</v>
      </c>
      <c r="L28" s="190" t="str">
        <f t="shared" si="17"/>
        <v>X0</v>
      </c>
    </row>
    <row r="29">
      <c r="D29" s="79">
        <v>7.0</v>
      </c>
      <c r="E29" s="80" t="s">
        <v>212</v>
      </c>
      <c r="F29" s="81">
        <v>1.0</v>
      </c>
      <c r="G29" s="81">
        <v>6.0</v>
      </c>
      <c r="H29" s="82">
        <v>26.0</v>
      </c>
      <c r="I29" s="82">
        <v>37.0</v>
      </c>
      <c r="J29" s="83">
        <v>63.0</v>
      </c>
      <c r="K29" s="26" t="s">
        <v>188</v>
      </c>
      <c r="L29" s="190" t="str">
        <f t="shared" si="17"/>
        <v>X1</v>
      </c>
    </row>
    <row r="30">
      <c r="D30" s="85">
        <v>8.0</v>
      </c>
      <c r="E30" s="86" t="s">
        <v>173</v>
      </c>
      <c r="F30" s="87">
        <v>0.0</v>
      </c>
      <c r="G30" s="87">
        <v>6.0</v>
      </c>
      <c r="H30" s="88">
        <v>14.0</v>
      </c>
      <c r="I30" s="88">
        <v>33.0</v>
      </c>
      <c r="J30" s="89">
        <v>47.0</v>
      </c>
      <c r="K30" s="26" t="s">
        <v>188</v>
      </c>
      <c r="L30" s="190" t="str">
        <f t="shared" si="17"/>
        <v>X0</v>
      </c>
    </row>
    <row r="31">
      <c r="D31" s="90">
        <v>9.0</v>
      </c>
      <c r="E31" s="91" t="s">
        <v>216</v>
      </c>
      <c r="F31" s="92">
        <v>0.0</v>
      </c>
      <c r="G31" s="92">
        <v>6.0</v>
      </c>
      <c r="H31" s="93">
        <v>20.0</v>
      </c>
      <c r="I31" s="93">
        <v>20.0</v>
      </c>
      <c r="J31" s="94">
        <v>40.0</v>
      </c>
      <c r="K31" s="26" t="s">
        <v>188</v>
      </c>
      <c r="L31" s="190" t="str">
        <f t="shared" si="17"/>
        <v>X0</v>
      </c>
    </row>
    <row r="32">
      <c r="D32" s="90">
        <v>10.0</v>
      </c>
      <c r="E32" s="91" t="s">
        <v>204</v>
      </c>
      <c r="F32" s="92">
        <v>0.0</v>
      </c>
      <c r="G32" s="92">
        <v>6.0</v>
      </c>
      <c r="H32" s="93">
        <v>8.0</v>
      </c>
      <c r="I32" s="93">
        <v>12.0</v>
      </c>
      <c r="J32" s="94">
        <v>20.0</v>
      </c>
      <c r="K32" s="26" t="s">
        <v>188</v>
      </c>
      <c r="L32" s="190" t="str">
        <f t="shared" si="17"/>
        <v>X0</v>
      </c>
    </row>
    <row r="33">
      <c r="D33" s="90">
        <v>11.0</v>
      </c>
      <c r="E33" s="91" t="s">
        <v>210</v>
      </c>
      <c r="F33" s="92">
        <v>0.0</v>
      </c>
      <c r="G33" s="92">
        <v>6.0</v>
      </c>
      <c r="H33" s="93">
        <v>15.0</v>
      </c>
      <c r="I33" s="93">
        <v>5.0</v>
      </c>
      <c r="J33" s="94">
        <v>20.0</v>
      </c>
      <c r="K33" s="26" t="s">
        <v>188</v>
      </c>
      <c r="L33" s="190" t="str">
        <f t="shared" si="17"/>
        <v>X0</v>
      </c>
    </row>
    <row r="34">
      <c r="D34" s="100">
        <v>12.0</v>
      </c>
      <c r="E34" s="101" t="s">
        <v>208</v>
      </c>
      <c r="F34" s="102">
        <v>0.0</v>
      </c>
      <c r="G34" s="102">
        <v>6.0</v>
      </c>
      <c r="H34" s="103">
        <v>2.0</v>
      </c>
      <c r="I34" s="103">
        <v>3.0</v>
      </c>
      <c r="J34" s="104">
        <v>5.0</v>
      </c>
      <c r="K34" s="26" t="s">
        <v>188</v>
      </c>
      <c r="L34" s="190" t="str">
        <f t="shared" si="17"/>
        <v>X0</v>
      </c>
    </row>
  </sheetData>
  <mergeCells count="22">
    <mergeCell ref="R3:S3"/>
    <mergeCell ref="T3:U3"/>
    <mergeCell ref="V3:W3"/>
    <mergeCell ref="X3:AB3"/>
    <mergeCell ref="D3:E3"/>
    <mergeCell ref="F3:G3"/>
    <mergeCell ref="H3:I3"/>
    <mergeCell ref="J3:K3"/>
    <mergeCell ref="L3:M3"/>
    <mergeCell ref="N3:O3"/>
    <mergeCell ref="P3:Q3"/>
    <mergeCell ref="R18:S18"/>
    <mergeCell ref="T18:U18"/>
    <mergeCell ref="V18:W18"/>
    <mergeCell ref="D18:E18"/>
    <mergeCell ref="F18:G18"/>
    <mergeCell ref="H18:I18"/>
    <mergeCell ref="J18:K18"/>
    <mergeCell ref="L18:M18"/>
    <mergeCell ref="N18:O18"/>
    <mergeCell ref="P18:Q18"/>
    <mergeCell ref="D21:J2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3" max="3" width="14.25"/>
    <col hidden="1" min="24" max="28" width="12.63"/>
  </cols>
  <sheetData>
    <row r="3">
      <c r="A3" s="139"/>
      <c r="B3" s="155"/>
      <c r="C3" s="156"/>
      <c r="D3" s="155" t="s">
        <v>0</v>
      </c>
      <c r="E3" s="157"/>
      <c r="F3" s="155" t="s">
        <v>1</v>
      </c>
      <c r="G3" s="157"/>
      <c r="H3" s="155" t="s">
        <v>2</v>
      </c>
      <c r="I3" s="157"/>
      <c r="J3" s="155" t="s">
        <v>3</v>
      </c>
      <c r="K3" s="157"/>
      <c r="L3" s="155" t="s">
        <v>23</v>
      </c>
      <c r="M3" s="157"/>
      <c r="N3" s="155" t="s">
        <v>24</v>
      </c>
      <c r="O3" s="157"/>
      <c r="P3" s="155" t="s">
        <v>156</v>
      </c>
      <c r="Q3" s="157"/>
      <c r="R3" s="155" t="s">
        <v>157</v>
      </c>
      <c r="S3" s="157"/>
      <c r="T3" s="155" t="s">
        <v>158</v>
      </c>
      <c r="U3" s="157"/>
      <c r="V3" s="155" t="s">
        <v>159</v>
      </c>
      <c r="W3" s="157"/>
      <c r="X3" s="155" t="s">
        <v>32</v>
      </c>
      <c r="Y3" s="158"/>
      <c r="Z3" s="158"/>
      <c r="AA3" s="158"/>
      <c r="AB3" s="157"/>
    </row>
    <row r="4">
      <c r="A4" s="159" t="s">
        <v>4</v>
      </c>
      <c r="B4" s="160" t="s">
        <v>5</v>
      </c>
      <c r="C4" s="161" t="s">
        <v>27</v>
      </c>
      <c r="D4" s="162" t="s">
        <v>6</v>
      </c>
      <c r="E4" s="163" t="s">
        <v>7</v>
      </c>
      <c r="F4" s="162" t="s">
        <v>6</v>
      </c>
      <c r="G4" s="163" t="s">
        <v>7</v>
      </c>
      <c r="H4" s="162" t="s">
        <v>6</v>
      </c>
      <c r="I4" s="163" t="s">
        <v>7</v>
      </c>
      <c r="J4" s="162" t="s">
        <v>6</v>
      </c>
      <c r="K4" s="163" t="s">
        <v>7</v>
      </c>
      <c r="L4" s="162" t="s">
        <v>6</v>
      </c>
      <c r="M4" s="163" t="s">
        <v>7</v>
      </c>
      <c r="N4" s="162" t="s">
        <v>6</v>
      </c>
      <c r="O4" s="163" t="s">
        <v>7</v>
      </c>
      <c r="P4" s="162" t="s">
        <v>6</v>
      </c>
      <c r="Q4" s="163" t="s">
        <v>7</v>
      </c>
      <c r="R4" s="162" t="s">
        <v>6</v>
      </c>
      <c r="S4" s="163" t="s">
        <v>7</v>
      </c>
      <c r="T4" s="162" t="s">
        <v>6</v>
      </c>
      <c r="U4" s="163" t="s">
        <v>7</v>
      </c>
      <c r="V4" s="162" t="s">
        <v>6</v>
      </c>
      <c r="W4" s="163" t="s">
        <v>7</v>
      </c>
      <c r="X4" s="162" t="s">
        <v>6</v>
      </c>
      <c r="Y4" s="164" t="s">
        <v>7</v>
      </c>
      <c r="Z4" s="164" t="s">
        <v>28</v>
      </c>
      <c r="AA4" s="164" t="s">
        <v>32</v>
      </c>
      <c r="AB4" s="163" t="s">
        <v>29</v>
      </c>
    </row>
    <row r="5">
      <c r="A5" s="165">
        <f t="array" ref="A5:A16">SEQUENCE(12,1)</f>
        <v>1</v>
      </c>
      <c r="B5" s="166" t="s">
        <v>217</v>
      </c>
      <c r="C5" s="167" t="s">
        <v>218</v>
      </c>
      <c r="D5" s="166">
        <v>6.0</v>
      </c>
      <c r="E5" s="168">
        <v>14.0</v>
      </c>
      <c r="F5" s="166">
        <v>9.0</v>
      </c>
      <c r="G5" s="168">
        <v>11.0</v>
      </c>
      <c r="H5" s="166">
        <v>7.0</v>
      </c>
      <c r="I5" s="191">
        <v>21.0</v>
      </c>
      <c r="J5" s="192">
        <v>7.0</v>
      </c>
      <c r="K5" s="193">
        <v>27.0</v>
      </c>
      <c r="L5" s="166">
        <v>9.0</v>
      </c>
      <c r="M5" s="168">
        <v>19.0</v>
      </c>
      <c r="N5" s="166">
        <v>12.0</v>
      </c>
      <c r="O5" s="168">
        <v>15.0</v>
      </c>
      <c r="P5" s="166"/>
      <c r="Q5" s="168"/>
      <c r="R5" s="166"/>
      <c r="S5" s="168"/>
      <c r="T5" s="166"/>
      <c r="U5" s="168"/>
      <c r="V5" s="166"/>
      <c r="W5" s="168"/>
      <c r="X5" s="166">
        <f t="shared" ref="X5:Y5" si="1">D5+F5+H5+J5+L5+N5+P5+R5+T5+V5</f>
        <v>50</v>
      </c>
      <c r="Y5" s="12">
        <f t="shared" si="1"/>
        <v>107</v>
      </c>
      <c r="Z5" s="169">
        <f t="shared" ref="Z5:Z16" si="3">IF(D5=12, 1, 0) + IF(F5=12, 1, 0) + IF(H5=12, 1, 0) + IF(J5=12, 1, 0)+IF(L5=12, 1, 0)+IF(N5=12, 1, 0)+IF(P5=12, 1, 0)+IF(R5=12, 1, 0)+IF(T5=12, 1, 0)+IF(V5=12, 1, 0)</f>
        <v>1</v>
      </c>
      <c r="AA5" s="169">
        <f t="shared" ref="AA5:AA16" si="4">SUM(X5:Y5)</f>
        <v>157</v>
      </c>
      <c r="AB5" s="168">
        <f t="shared" ref="AB5:AB16" si="5">COUNTA(D5,F5,H5,J5,L5,N5,P5,R5,T5,V5)</f>
        <v>6</v>
      </c>
    </row>
    <row r="6">
      <c r="A6" s="170">
        <v>2.0</v>
      </c>
      <c r="B6" s="171" t="s">
        <v>219</v>
      </c>
      <c r="C6" s="172" t="s">
        <v>220</v>
      </c>
      <c r="D6" s="171">
        <v>7.0</v>
      </c>
      <c r="E6" s="173">
        <v>18.0</v>
      </c>
      <c r="F6" s="171">
        <v>1.0</v>
      </c>
      <c r="G6" s="173">
        <v>4.0</v>
      </c>
      <c r="H6" s="171">
        <v>8.0</v>
      </c>
      <c r="I6" s="191">
        <v>9.0</v>
      </c>
      <c r="J6" s="192">
        <v>6.0</v>
      </c>
      <c r="K6" s="193">
        <v>6.0</v>
      </c>
      <c r="L6" s="171">
        <v>3.0</v>
      </c>
      <c r="M6" s="173">
        <v>14.0</v>
      </c>
      <c r="N6" s="171">
        <v>0.0</v>
      </c>
      <c r="O6" s="173">
        <v>0.0</v>
      </c>
      <c r="P6" s="171"/>
      <c r="Q6" s="173"/>
      <c r="R6" s="171"/>
      <c r="S6" s="173"/>
      <c r="T6" s="171"/>
      <c r="U6" s="173"/>
      <c r="V6" s="171"/>
      <c r="W6" s="173"/>
      <c r="X6" s="166">
        <f t="shared" ref="X6:Y6" si="2">D6+F6+H6+J6+L6+N6+P6+R6+T6+V6</f>
        <v>25</v>
      </c>
      <c r="Y6" s="12">
        <f t="shared" si="2"/>
        <v>51</v>
      </c>
      <c r="Z6" s="169">
        <f t="shared" si="3"/>
        <v>0</v>
      </c>
      <c r="AA6" s="169">
        <f t="shared" si="4"/>
        <v>76</v>
      </c>
      <c r="AB6" s="168">
        <f t="shared" si="5"/>
        <v>6</v>
      </c>
    </row>
    <row r="7">
      <c r="A7" s="170">
        <v>3.0</v>
      </c>
      <c r="B7" s="171" t="s">
        <v>221</v>
      </c>
      <c r="C7" s="172" t="s">
        <v>222</v>
      </c>
      <c r="D7" s="171">
        <v>0.0</v>
      </c>
      <c r="E7" s="173">
        <v>0.0</v>
      </c>
      <c r="F7" s="171">
        <v>2.0</v>
      </c>
      <c r="G7" s="173">
        <v>0.0</v>
      </c>
      <c r="H7" s="171">
        <v>4.0</v>
      </c>
      <c r="I7" s="191">
        <v>1.0</v>
      </c>
      <c r="J7" s="192">
        <v>2.0</v>
      </c>
      <c r="K7" s="193">
        <v>0.0</v>
      </c>
      <c r="L7" s="171">
        <v>0.0</v>
      </c>
      <c r="M7" s="173">
        <v>0.0</v>
      </c>
      <c r="N7" s="171">
        <v>0.0</v>
      </c>
      <c r="O7" s="173">
        <v>0.0</v>
      </c>
      <c r="P7" s="171"/>
      <c r="Q7" s="173"/>
      <c r="R7" s="171"/>
      <c r="S7" s="173"/>
      <c r="T7" s="171"/>
      <c r="U7" s="173"/>
      <c r="V7" s="171"/>
      <c r="W7" s="173"/>
      <c r="X7" s="166">
        <f t="shared" ref="X7:Y7" si="6">D7+F7+H7+J7+L7+N7+P7+R7+T7+V7</f>
        <v>8</v>
      </c>
      <c r="Y7" s="12">
        <f t="shared" si="6"/>
        <v>1</v>
      </c>
      <c r="Z7" s="169">
        <f t="shared" si="3"/>
        <v>0</v>
      </c>
      <c r="AA7" s="169">
        <f t="shared" si="4"/>
        <v>9</v>
      </c>
      <c r="AB7" s="168">
        <f t="shared" si="5"/>
        <v>6</v>
      </c>
    </row>
    <row r="8">
      <c r="A8" s="170">
        <v>4.0</v>
      </c>
      <c r="B8" s="174" t="s">
        <v>223</v>
      </c>
      <c r="C8" s="194" t="s">
        <v>224</v>
      </c>
      <c r="D8" s="171">
        <v>8.0</v>
      </c>
      <c r="E8" s="176">
        <v>2.0</v>
      </c>
      <c r="F8" s="171">
        <v>0.0</v>
      </c>
      <c r="G8" s="176">
        <v>2.0</v>
      </c>
      <c r="H8" s="171">
        <v>5.0</v>
      </c>
      <c r="I8" s="191">
        <v>2.0</v>
      </c>
      <c r="J8" s="192">
        <v>3.0</v>
      </c>
      <c r="K8" s="193">
        <v>13.0</v>
      </c>
      <c r="L8" s="171">
        <v>4.0</v>
      </c>
      <c r="M8" s="176">
        <v>5.0</v>
      </c>
      <c r="N8" s="171">
        <v>3.0</v>
      </c>
      <c r="O8" s="176">
        <v>1.0</v>
      </c>
      <c r="P8" s="171"/>
      <c r="Q8" s="176"/>
      <c r="R8" s="171"/>
      <c r="S8" s="176"/>
      <c r="T8" s="171"/>
      <c r="U8" s="176"/>
      <c r="V8" s="171"/>
      <c r="W8" s="176"/>
      <c r="X8" s="166">
        <f t="shared" ref="X8:Y8" si="7">D8+F8+H8+J8+L8+N8+P8+R8+T8+V8</f>
        <v>23</v>
      </c>
      <c r="Y8" s="12">
        <f t="shared" si="7"/>
        <v>25</v>
      </c>
      <c r="Z8" s="169">
        <f t="shared" si="3"/>
        <v>0</v>
      </c>
      <c r="AA8" s="169">
        <f t="shared" si="4"/>
        <v>48</v>
      </c>
      <c r="AB8" s="168">
        <f t="shared" si="5"/>
        <v>6</v>
      </c>
    </row>
    <row r="9">
      <c r="A9" s="170">
        <v>5.0</v>
      </c>
      <c r="B9" s="171" t="s">
        <v>225</v>
      </c>
      <c r="C9" s="172" t="s">
        <v>226</v>
      </c>
      <c r="D9" s="171">
        <v>12.0</v>
      </c>
      <c r="E9" s="173">
        <v>10.0</v>
      </c>
      <c r="F9" s="171">
        <v>12.0</v>
      </c>
      <c r="G9" s="173">
        <v>6.0</v>
      </c>
      <c r="H9" s="171">
        <v>2.0</v>
      </c>
      <c r="I9" s="191">
        <v>1.0</v>
      </c>
      <c r="J9" s="192">
        <v>9.0</v>
      </c>
      <c r="K9" s="193">
        <v>3.0</v>
      </c>
      <c r="L9" s="171">
        <v>8.0</v>
      </c>
      <c r="M9" s="173">
        <v>9.0</v>
      </c>
      <c r="N9" s="171">
        <v>6.0</v>
      </c>
      <c r="O9" s="173">
        <v>8.0</v>
      </c>
      <c r="P9" s="171"/>
      <c r="Q9" s="173"/>
      <c r="R9" s="171"/>
      <c r="S9" s="173"/>
      <c r="T9" s="171"/>
      <c r="U9" s="173"/>
      <c r="V9" s="171"/>
      <c r="W9" s="173"/>
      <c r="X9" s="166">
        <f t="shared" ref="X9:Y9" si="8">D9+F9+H9+J9+L9+N9+P9+R9+T9+V9</f>
        <v>49</v>
      </c>
      <c r="Y9" s="12">
        <f t="shared" si="8"/>
        <v>37</v>
      </c>
      <c r="Z9" s="169">
        <f t="shared" si="3"/>
        <v>2</v>
      </c>
      <c r="AA9" s="169">
        <f t="shared" si="4"/>
        <v>86</v>
      </c>
      <c r="AB9" s="168">
        <f t="shared" si="5"/>
        <v>6</v>
      </c>
    </row>
    <row r="10">
      <c r="A10" s="170">
        <v>6.0</v>
      </c>
      <c r="B10" s="171" t="s">
        <v>227</v>
      </c>
      <c r="C10" s="172" t="s">
        <v>228</v>
      </c>
      <c r="D10" s="171">
        <v>1.0</v>
      </c>
      <c r="E10" s="173">
        <v>2.0</v>
      </c>
      <c r="F10" s="171">
        <v>6.0</v>
      </c>
      <c r="G10" s="173">
        <v>14.0</v>
      </c>
      <c r="H10" s="171">
        <v>12.0</v>
      </c>
      <c r="I10" s="195">
        <v>18.0</v>
      </c>
      <c r="J10" s="192">
        <v>8.0</v>
      </c>
      <c r="K10" s="193">
        <v>6.0</v>
      </c>
      <c r="L10" s="171">
        <v>6.0</v>
      </c>
      <c r="M10" s="173">
        <v>13.0</v>
      </c>
      <c r="N10" s="171">
        <v>4.0</v>
      </c>
      <c r="O10" s="173">
        <v>6.0</v>
      </c>
      <c r="P10" s="171"/>
      <c r="Q10" s="173"/>
      <c r="R10" s="171"/>
      <c r="S10" s="173"/>
      <c r="T10" s="171"/>
      <c r="U10" s="173"/>
      <c r="V10" s="171"/>
      <c r="W10" s="173"/>
      <c r="X10" s="166">
        <f t="shared" ref="X10:Y10" si="9">D10+F10+H10+J10+L10+N10+P10+R10+T10+V10</f>
        <v>37</v>
      </c>
      <c r="Y10" s="12">
        <f t="shared" si="9"/>
        <v>59</v>
      </c>
      <c r="Z10" s="169">
        <f t="shared" si="3"/>
        <v>1</v>
      </c>
      <c r="AA10" s="169">
        <f t="shared" si="4"/>
        <v>96</v>
      </c>
      <c r="AB10" s="168">
        <f t="shared" si="5"/>
        <v>6</v>
      </c>
    </row>
    <row r="11">
      <c r="A11" s="170">
        <v>7.0</v>
      </c>
      <c r="B11" s="171" t="s">
        <v>121</v>
      </c>
      <c r="C11" s="172" t="s">
        <v>134</v>
      </c>
      <c r="D11" s="171">
        <v>9.0</v>
      </c>
      <c r="E11" s="176">
        <v>21.0</v>
      </c>
      <c r="F11" s="171">
        <v>3.0</v>
      </c>
      <c r="G11" s="176">
        <v>7.0</v>
      </c>
      <c r="H11" s="171">
        <v>3.0</v>
      </c>
      <c r="I11" s="191">
        <v>0.0</v>
      </c>
      <c r="J11" s="192">
        <v>0.0</v>
      </c>
      <c r="K11" s="193">
        <v>3.0</v>
      </c>
      <c r="L11" s="171">
        <v>0.0</v>
      </c>
      <c r="M11" s="176">
        <v>0.0</v>
      </c>
      <c r="N11" s="171">
        <v>0.0</v>
      </c>
      <c r="O11" s="176">
        <v>0.0</v>
      </c>
      <c r="P11" s="171"/>
      <c r="Q11" s="176"/>
      <c r="R11" s="171"/>
      <c r="S11" s="176"/>
      <c r="T11" s="171"/>
      <c r="U11" s="176"/>
      <c r="V11" s="171"/>
      <c r="W11" s="176"/>
      <c r="X11" s="166">
        <f t="shared" ref="X11:Y11" si="10">D11+F11+H11+J11+L11+N11+P11+R11+T11+V11</f>
        <v>15</v>
      </c>
      <c r="Y11" s="12">
        <f t="shared" si="10"/>
        <v>31</v>
      </c>
      <c r="Z11" s="169">
        <f t="shared" si="3"/>
        <v>0</v>
      </c>
      <c r="AA11" s="169">
        <f t="shared" si="4"/>
        <v>46</v>
      </c>
      <c r="AB11" s="168">
        <f t="shared" si="5"/>
        <v>6</v>
      </c>
    </row>
    <row r="12">
      <c r="A12" s="170">
        <v>8.0</v>
      </c>
      <c r="B12" s="171" t="s">
        <v>126</v>
      </c>
      <c r="C12" s="172" t="s">
        <v>136</v>
      </c>
      <c r="D12" s="171">
        <v>4.0</v>
      </c>
      <c r="E12" s="173">
        <v>3.0</v>
      </c>
      <c r="F12" s="171">
        <v>0.0</v>
      </c>
      <c r="G12" s="173">
        <v>1.0</v>
      </c>
      <c r="H12" s="171">
        <v>0.0</v>
      </c>
      <c r="I12" s="191">
        <v>0.0</v>
      </c>
      <c r="J12" s="192">
        <v>0.0</v>
      </c>
      <c r="K12" s="193">
        <v>0.0</v>
      </c>
      <c r="L12" s="171">
        <v>0.0</v>
      </c>
      <c r="M12" s="173">
        <v>0.0</v>
      </c>
      <c r="N12" s="171">
        <v>0.0</v>
      </c>
      <c r="O12" s="173">
        <v>0.0</v>
      </c>
      <c r="P12" s="171"/>
      <c r="Q12" s="173"/>
      <c r="R12" s="171"/>
      <c r="S12" s="173"/>
      <c r="T12" s="171"/>
      <c r="U12" s="173"/>
      <c r="V12" s="171"/>
      <c r="W12" s="173"/>
      <c r="X12" s="166">
        <f t="shared" ref="X12:Y12" si="11">D12+F12+H12+J12+L12+N12+P12+R12+T12+V12</f>
        <v>4</v>
      </c>
      <c r="Y12" s="12">
        <f t="shared" si="11"/>
        <v>4</v>
      </c>
      <c r="Z12" s="169">
        <f t="shared" si="3"/>
        <v>0</v>
      </c>
      <c r="AA12" s="169">
        <f t="shared" si="4"/>
        <v>8</v>
      </c>
      <c r="AB12" s="168">
        <f t="shared" si="5"/>
        <v>6</v>
      </c>
    </row>
    <row r="13">
      <c r="A13" s="170">
        <v>9.0</v>
      </c>
      <c r="B13" s="166" t="s">
        <v>229</v>
      </c>
      <c r="C13" s="167" t="s">
        <v>230</v>
      </c>
      <c r="D13" s="171">
        <v>5.0</v>
      </c>
      <c r="E13" s="173">
        <v>12.0</v>
      </c>
      <c r="F13" s="171">
        <v>8.0</v>
      </c>
      <c r="G13" s="173">
        <v>14.0</v>
      </c>
      <c r="H13" s="171">
        <v>1.0</v>
      </c>
      <c r="I13" s="191">
        <v>3.0</v>
      </c>
      <c r="J13" s="192">
        <v>5.0</v>
      </c>
      <c r="K13" s="193">
        <v>18.0</v>
      </c>
      <c r="L13" s="171">
        <v>7.0</v>
      </c>
      <c r="M13" s="173">
        <v>11.0</v>
      </c>
      <c r="N13" s="171">
        <v>8.0</v>
      </c>
      <c r="O13" s="173">
        <v>7.0</v>
      </c>
      <c r="P13" s="171"/>
      <c r="Q13" s="173"/>
      <c r="R13" s="171"/>
      <c r="S13" s="173"/>
      <c r="T13" s="171"/>
      <c r="U13" s="173"/>
      <c r="V13" s="171"/>
      <c r="W13" s="173"/>
      <c r="X13" s="166">
        <f t="shared" ref="X13:Y13" si="12">D13+F13+H13+J13+L13+N13+P13+R13+T13+V13</f>
        <v>34</v>
      </c>
      <c r="Y13" s="12">
        <f t="shared" si="12"/>
        <v>65</v>
      </c>
      <c r="Z13" s="169">
        <f t="shared" si="3"/>
        <v>0</v>
      </c>
      <c r="AA13" s="169">
        <f t="shared" si="4"/>
        <v>99</v>
      </c>
      <c r="AB13" s="168">
        <f t="shared" si="5"/>
        <v>6</v>
      </c>
    </row>
    <row r="14">
      <c r="A14" s="170">
        <v>10.0</v>
      </c>
      <c r="B14" s="171" t="s">
        <v>231</v>
      </c>
      <c r="C14" s="172" t="s">
        <v>216</v>
      </c>
      <c r="D14" s="171">
        <v>0.0</v>
      </c>
      <c r="E14" s="176">
        <v>0.0</v>
      </c>
      <c r="F14" s="171">
        <v>5.0</v>
      </c>
      <c r="G14" s="176">
        <v>5.0</v>
      </c>
      <c r="H14" s="171">
        <v>6.0</v>
      </c>
      <c r="I14" s="191">
        <v>10.0</v>
      </c>
      <c r="J14" s="192">
        <v>1.0</v>
      </c>
      <c r="K14" s="193">
        <v>1.0</v>
      </c>
      <c r="L14" s="171">
        <v>2.0</v>
      </c>
      <c r="M14" s="176">
        <v>11.0</v>
      </c>
      <c r="N14" s="171">
        <v>5.0</v>
      </c>
      <c r="O14" s="176">
        <v>2.0</v>
      </c>
      <c r="P14" s="171"/>
      <c r="Q14" s="176"/>
      <c r="R14" s="171"/>
      <c r="S14" s="176"/>
      <c r="T14" s="171"/>
      <c r="U14" s="176"/>
      <c r="V14" s="171"/>
      <c r="W14" s="176"/>
      <c r="X14" s="166">
        <f t="shared" ref="X14:Y14" si="13">D14+F14+H14+J14+L14+N14+P14+R14+T14+V14</f>
        <v>19</v>
      </c>
      <c r="Y14" s="12">
        <f t="shared" si="13"/>
        <v>29</v>
      </c>
      <c r="Z14" s="169">
        <f t="shared" si="3"/>
        <v>0</v>
      </c>
      <c r="AA14" s="169">
        <f t="shared" si="4"/>
        <v>48</v>
      </c>
      <c r="AB14" s="168">
        <f t="shared" si="5"/>
        <v>6</v>
      </c>
    </row>
    <row r="15">
      <c r="A15" s="170">
        <v>11.0</v>
      </c>
      <c r="B15" s="171" t="s">
        <v>232</v>
      </c>
      <c r="C15" s="172" t="s">
        <v>233</v>
      </c>
      <c r="D15" s="171">
        <v>3.0</v>
      </c>
      <c r="E15" s="173">
        <v>8.0</v>
      </c>
      <c r="F15" s="171">
        <v>7.0</v>
      </c>
      <c r="G15" s="173">
        <v>9.0</v>
      </c>
      <c r="H15" s="171">
        <v>0.0</v>
      </c>
      <c r="I15" s="191">
        <v>3.0</v>
      </c>
      <c r="J15" s="192">
        <v>12.0</v>
      </c>
      <c r="K15" s="193">
        <v>19.0</v>
      </c>
      <c r="L15" s="171">
        <v>12.0</v>
      </c>
      <c r="M15" s="173">
        <v>18.0</v>
      </c>
      <c r="N15" s="171">
        <v>7.0</v>
      </c>
      <c r="O15" s="173">
        <v>16.0</v>
      </c>
      <c r="P15" s="171"/>
      <c r="Q15" s="173"/>
      <c r="R15" s="171"/>
      <c r="S15" s="173"/>
      <c r="T15" s="171"/>
      <c r="U15" s="173"/>
      <c r="V15" s="171"/>
      <c r="W15" s="173"/>
      <c r="X15" s="166">
        <f t="shared" ref="X15:Y15" si="14">D15+F15+H15+J15+L15+N15+P15+R15+T15+V15</f>
        <v>41</v>
      </c>
      <c r="Y15" s="12">
        <f t="shared" si="14"/>
        <v>73</v>
      </c>
      <c r="Z15" s="169">
        <f t="shared" si="3"/>
        <v>2</v>
      </c>
      <c r="AA15" s="169">
        <f t="shared" si="4"/>
        <v>114</v>
      </c>
      <c r="AB15" s="168">
        <f t="shared" si="5"/>
        <v>6</v>
      </c>
    </row>
    <row r="16">
      <c r="A16" s="177">
        <v>12.0</v>
      </c>
      <c r="B16" s="178" t="s">
        <v>234</v>
      </c>
      <c r="C16" s="179" t="s">
        <v>235</v>
      </c>
      <c r="D16" s="180">
        <v>2.0</v>
      </c>
      <c r="E16" s="181">
        <v>4.0</v>
      </c>
      <c r="F16" s="178">
        <v>4.0</v>
      </c>
      <c r="G16" s="182">
        <v>2.0</v>
      </c>
      <c r="H16" s="178">
        <v>9.0</v>
      </c>
      <c r="I16" s="191">
        <v>5.0</v>
      </c>
      <c r="J16" s="192">
        <v>4.0</v>
      </c>
      <c r="K16" s="193">
        <v>10.0</v>
      </c>
      <c r="L16" s="178">
        <v>5.0</v>
      </c>
      <c r="M16" s="182">
        <v>11.0</v>
      </c>
      <c r="N16" s="178">
        <v>9.0</v>
      </c>
      <c r="O16" s="182">
        <v>11.0</v>
      </c>
      <c r="P16" s="178"/>
      <c r="Q16" s="182"/>
      <c r="R16" s="178"/>
      <c r="S16" s="182"/>
      <c r="T16" s="178"/>
      <c r="U16" s="182"/>
      <c r="V16" s="178"/>
      <c r="W16" s="182"/>
      <c r="X16" s="183">
        <f t="shared" ref="X16:Y16" si="15">D16+F16+H16+J16+L16+N16+P16+R16+T16+V16</f>
        <v>33</v>
      </c>
      <c r="Y16" s="184">
        <f t="shared" si="15"/>
        <v>43</v>
      </c>
      <c r="Z16" s="185">
        <f t="shared" si="3"/>
        <v>0</v>
      </c>
      <c r="AA16" s="185">
        <f t="shared" si="4"/>
        <v>76</v>
      </c>
      <c r="AB16" s="186">
        <f t="shared" si="5"/>
        <v>6</v>
      </c>
    </row>
    <row r="17">
      <c r="D17" s="187">
        <f t="shared" ref="D17:W17" si="16">SUM(D5:D16)</f>
        <v>57</v>
      </c>
      <c r="E17" s="187">
        <f t="shared" si="16"/>
        <v>94</v>
      </c>
      <c r="F17" s="187">
        <f t="shared" si="16"/>
        <v>57</v>
      </c>
      <c r="G17" s="187">
        <f t="shared" si="16"/>
        <v>75</v>
      </c>
      <c r="H17" s="187">
        <f t="shared" si="16"/>
        <v>57</v>
      </c>
      <c r="I17" s="187">
        <f t="shared" si="16"/>
        <v>73</v>
      </c>
      <c r="J17" s="187">
        <f t="shared" si="16"/>
        <v>57</v>
      </c>
      <c r="K17" s="187">
        <f t="shared" si="16"/>
        <v>106</v>
      </c>
      <c r="L17" s="187">
        <f t="shared" si="16"/>
        <v>56</v>
      </c>
      <c r="M17" s="187">
        <f t="shared" si="16"/>
        <v>111</v>
      </c>
      <c r="N17" s="187">
        <f t="shared" si="16"/>
        <v>54</v>
      </c>
      <c r="O17" s="187">
        <f t="shared" si="16"/>
        <v>66</v>
      </c>
      <c r="P17" s="187">
        <f t="shared" si="16"/>
        <v>0</v>
      </c>
      <c r="Q17" s="187">
        <f t="shared" si="16"/>
        <v>0</v>
      </c>
      <c r="R17" s="187">
        <f t="shared" si="16"/>
        <v>0</v>
      </c>
      <c r="S17" s="187">
        <f t="shared" si="16"/>
        <v>0</v>
      </c>
      <c r="T17" s="187">
        <f t="shared" si="16"/>
        <v>0</v>
      </c>
      <c r="U17" s="187">
        <f t="shared" si="16"/>
        <v>0</v>
      </c>
      <c r="V17" s="187">
        <f t="shared" si="16"/>
        <v>0</v>
      </c>
      <c r="W17" s="188">
        <f t="shared" si="16"/>
        <v>0</v>
      </c>
      <c r="X17" s="5"/>
      <c r="AA17" s="13"/>
      <c r="AB17" s="13"/>
    </row>
    <row r="18">
      <c r="D18" s="188">
        <f>SUM(D17:E17)</f>
        <v>151</v>
      </c>
      <c r="E18" s="189"/>
      <c r="F18" s="188">
        <f>SUM(F17:G17)</f>
        <v>132</v>
      </c>
      <c r="G18" s="189"/>
      <c r="H18" s="188">
        <f>SUM(H17:I17)</f>
        <v>130</v>
      </c>
      <c r="I18" s="189"/>
      <c r="J18" s="188">
        <f>SUM(J17:K17)</f>
        <v>163</v>
      </c>
      <c r="K18" s="189"/>
      <c r="L18" s="188">
        <f>SUM(L17:M17)</f>
        <v>167</v>
      </c>
      <c r="M18" s="189"/>
      <c r="N18" s="188">
        <f>SUM(N17:O17)</f>
        <v>120</v>
      </c>
      <c r="O18" s="189"/>
      <c r="P18" s="188">
        <f>SUM(P17:Q17)</f>
        <v>0</v>
      </c>
      <c r="Q18" s="189"/>
      <c r="R18" s="188">
        <f>SUM(R17:S17)</f>
        <v>0</v>
      </c>
      <c r="S18" s="189"/>
      <c r="T18" s="188">
        <f>SUM(T17:U17)</f>
        <v>0</v>
      </c>
      <c r="U18" s="189"/>
      <c r="V18" s="188">
        <f>SUM(V17:W17)</f>
        <v>0</v>
      </c>
      <c r="W18" s="189"/>
      <c r="X18" s="5"/>
      <c r="AA18" s="13"/>
      <c r="AB18" s="13"/>
    </row>
    <row r="21">
      <c r="D21" s="40" t="s">
        <v>133</v>
      </c>
      <c r="E21" s="41"/>
      <c r="F21" s="41"/>
      <c r="G21" s="41"/>
      <c r="H21" s="41"/>
      <c r="I21" s="41"/>
      <c r="J21" s="42"/>
    </row>
    <row r="22">
      <c r="D22" s="48" t="s">
        <v>4</v>
      </c>
      <c r="E22" s="48" t="s">
        <v>27</v>
      </c>
      <c r="F22" s="48" t="s">
        <v>28</v>
      </c>
      <c r="G22" s="48" t="s">
        <v>29</v>
      </c>
      <c r="H22" s="48" t="s">
        <v>30</v>
      </c>
      <c r="I22" s="48" t="s">
        <v>31</v>
      </c>
      <c r="J22" s="48" t="s">
        <v>32</v>
      </c>
    </row>
    <row r="23">
      <c r="D23" s="55">
        <v>1.0</v>
      </c>
      <c r="E23" s="56" t="str">
        <f t="array" ref="E23:J34">SORT(CHOOSECOLS(C5:AE16, 1,24,26, 22, 23,25),3,FALSE, 6,FALSE,5, FALSE,4,FALSE)</f>
        <v>M3i ESPORTS</v>
      </c>
      <c r="F23" s="56">
        <v>1.0</v>
      </c>
      <c r="G23" s="56">
        <v>6.0</v>
      </c>
      <c r="H23" s="57">
        <v>50.0</v>
      </c>
      <c r="I23" s="57">
        <v>107.0</v>
      </c>
      <c r="J23" s="58">
        <v>157.0</v>
      </c>
      <c r="K23" s="26" t="s">
        <v>188</v>
      </c>
      <c r="L23" s="190" t="str">
        <f t="shared" ref="L23:L34" si="17">CONCATENATE(K23,F23)</f>
        <v>X1</v>
      </c>
    </row>
    <row r="24">
      <c r="D24" s="60">
        <v>2.0</v>
      </c>
      <c r="E24" s="61" t="s">
        <v>233</v>
      </c>
      <c r="F24" s="61">
        <v>2.0</v>
      </c>
      <c r="G24" s="61">
        <v>6.0</v>
      </c>
      <c r="H24" s="62">
        <v>41.0</v>
      </c>
      <c r="I24" s="62">
        <v>73.0</v>
      </c>
      <c r="J24" s="63">
        <v>114.0</v>
      </c>
      <c r="K24" s="26" t="s">
        <v>188</v>
      </c>
      <c r="L24" s="190" t="str">
        <f t="shared" si="17"/>
        <v>X2</v>
      </c>
    </row>
    <row r="25">
      <c r="D25" s="64">
        <v>3.0</v>
      </c>
      <c r="E25" s="65" t="s">
        <v>230</v>
      </c>
      <c r="F25" s="66">
        <v>0.0</v>
      </c>
      <c r="G25" s="66">
        <v>6.0</v>
      </c>
      <c r="H25" s="67">
        <v>34.0</v>
      </c>
      <c r="I25" s="67">
        <v>65.0</v>
      </c>
      <c r="J25" s="68">
        <v>99.0</v>
      </c>
      <c r="K25" s="26" t="s">
        <v>188</v>
      </c>
      <c r="L25" s="190" t="str">
        <f t="shared" si="17"/>
        <v>X0</v>
      </c>
    </row>
    <row r="26">
      <c r="D26" s="69">
        <v>4.0</v>
      </c>
      <c r="E26" s="70" t="s">
        <v>228</v>
      </c>
      <c r="F26" s="71">
        <v>1.0</v>
      </c>
      <c r="G26" s="71">
        <v>6.0</v>
      </c>
      <c r="H26" s="72">
        <v>37.0</v>
      </c>
      <c r="I26" s="72">
        <v>59.0</v>
      </c>
      <c r="J26" s="73">
        <v>96.0</v>
      </c>
      <c r="K26" s="26" t="s">
        <v>188</v>
      </c>
      <c r="L26" s="190" t="str">
        <f t="shared" si="17"/>
        <v>X1</v>
      </c>
    </row>
    <row r="27">
      <c r="D27" s="74">
        <v>5.0</v>
      </c>
      <c r="E27" s="75" t="s">
        <v>226</v>
      </c>
      <c r="F27" s="76">
        <v>2.0</v>
      </c>
      <c r="G27" s="76">
        <v>6.0</v>
      </c>
      <c r="H27" s="77">
        <v>49.0</v>
      </c>
      <c r="I27" s="77">
        <v>37.0</v>
      </c>
      <c r="J27" s="78">
        <v>86.0</v>
      </c>
      <c r="K27" s="26" t="s">
        <v>188</v>
      </c>
      <c r="L27" s="190" t="str">
        <f t="shared" si="17"/>
        <v>X2</v>
      </c>
    </row>
    <row r="28">
      <c r="D28" s="74">
        <v>6.0</v>
      </c>
      <c r="E28" s="75" t="s">
        <v>220</v>
      </c>
      <c r="F28" s="76">
        <v>0.0</v>
      </c>
      <c r="G28" s="76">
        <v>6.0</v>
      </c>
      <c r="H28" s="77">
        <v>25.0</v>
      </c>
      <c r="I28" s="77">
        <v>51.0</v>
      </c>
      <c r="J28" s="78">
        <v>76.0</v>
      </c>
      <c r="K28" s="26" t="s">
        <v>188</v>
      </c>
      <c r="L28" s="190" t="str">
        <f t="shared" si="17"/>
        <v>X0</v>
      </c>
    </row>
    <row r="29">
      <c r="D29" s="79">
        <v>7.0</v>
      </c>
      <c r="E29" s="80" t="s">
        <v>235</v>
      </c>
      <c r="F29" s="81">
        <v>0.0</v>
      </c>
      <c r="G29" s="81">
        <v>6.0</v>
      </c>
      <c r="H29" s="82">
        <v>33.0</v>
      </c>
      <c r="I29" s="82">
        <v>43.0</v>
      </c>
      <c r="J29" s="83">
        <v>76.0</v>
      </c>
      <c r="K29" s="26" t="s">
        <v>188</v>
      </c>
      <c r="L29" s="190" t="str">
        <f t="shared" si="17"/>
        <v>X0</v>
      </c>
    </row>
    <row r="30">
      <c r="D30" s="85">
        <v>8.0</v>
      </c>
      <c r="E30" s="86" t="s">
        <v>216</v>
      </c>
      <c r="F30" s="87">
        <v>0.0</v>
      </c>
      <c r="G30" s="87">
        <v>6.0</v>
      </c>
      <c r="H30" s="88">
        <v>19.0</v>
      </c>
      <c r="I30" s="88">
        <v>29.0</v>
      </c>
      <c r="J30" s="89">
        <v>48.0</v>
      </c>
      <c r="K30" s="26" t="s">
        <v>188</v>
      </c>
      <c r="L30" s="190" t="str">
        <f t="shared" si="17"/>
        <v>X0</v>
      </c>
    </row>
    <row r="31">
      <c r="D31" s="90">
        <v>9.0</v>
      </c>
      <c r="E31" s="91" t="s">
        <v>224</v>
      </c>
      <c r="F31" s="92">
        <v>0.0</v>
      </c>
      <c r="G31" s="92">
        <v>6.0</v>
      </c>
      <c r="H31" s="93">
        <v>23.0</v>
      </c>
      <c r="I31" s="93">
        <v>25.0</v>
      </c>
      <c r="J31" s="94">
        <v>48.0</v>
      </c>
      <c r="K31" s="26" t="s">
        <v>188</v>
      </c>
      <c r="L31" s="190" t="str">
        <f t="shared" si="17"/>
        <v>X0</v>
      </c>
    </row>
    <row r="32">
      <c r="D32" s="90">
        <v>10.0</v>
      </c>
      <c r="E32" s="91" t="s">
        <v>134</v>
      </c>
      <c r="F32" s="92">
        <v>0.0</v>
      </c>
      <c r="G32" s="92">
        <v>6.0</v>
      </c>
      <c r="H32" s="93">
        <v>15.0</v>
      </c>
      <c r="I32" s="93">
        <v>31.0</v>
      </c>
      <c r="J32" s="94">
        <v>46.0</v>
      </c>
      <c r="K32" s="26" t="s">
        <v>188</v>
      </c>
      <c r="L32" s="190" t="str">
        <f t="shared" si="17"/>
        <v>X0</v>
      </c>
    </row>
    <row r="33">
      <c r="D33" s="90">
        <v>11.0</v>
      </c>
      <c r="E33" s="91" t="s">
        <v>222</v>
      </c>
      <c r="F33" s="92">
        <v>0.0</v>
      </c>
      <c r="G33" s="92">
        <v>6.0</v>
      </c>
      <c r="H33" s="93">
        <v>8.0</v>
      </c>
      <c r="I33" s="93">
        <v>1.0</v>
      </c>
      <c r="J33" s="94">
        <v>9.0</v>
      </c>
      <c r="K33" s="26" t="s">
        <v>188</v>
      </c>
      <c r="L33" s="190" t="str">
        <f t="shared" si="17"/>
        <v>X0</v>
      </c>
    </row>
    <row r="34">
      <c r="D34" s="100">
        <v>12.0</v>
      </c>
      <c r="E34" s="101" t="s">
        <v>136</v>
      </c>
      <c r="F34" s="102">
        <v>0.0</v>
      </c>
      <c r="G34" s="102">
        <v>6.0</v>
      </c>
      <c r="H34" s="103">
        <v>4.0</v>
      </c>
      <c r="I34" s="103">
        <v>4.0</v>
      </c>
      <c r="J34" s="104">
        <v>8.0</v>
      </c>
      <c r="K34" s="26" t="s">
        <v>188</v>
      </c>
      <c r="L34" s="190" t="str">
        <f t="shared" si="17"/>
        <v>X0</v>
      </c>
    </row>
  </sheetData>
  <mergeCells count="22">
    <mergeCell ref="R3:S3"/>
    <mergeCell ref="T3:U3"/>
    <mergeCell ref="V3:W3"/>
    <mergeCell ref="X3:AB3"/>
    <mergeCell ref="D3:E3"/>
    <mergeCell ref="F3:G3"/>
    <mergeCell ref="H3:I3"/>
    <mergeCell ref="J3:K3"/>
    <mergeCell ref="L3:M3"/>
    <mergeCell ref="N3:O3"/>
    <mergeCell ref="P3:Q3"/>
    <mergeCell ref="R18:S18"/>
    <mergeCell ref="T18:U18"/>
    <mergeCell ref="V18:W18"/>
    <mergeCell ref="D18:E18"/>
    <mergeCell ref="F18:G18"/>
    <mergeCell ref="H18:I18"/>
    <mergeCell ref="J18:K18"/>
    <mergeCell ref="L18:M18"/>
    <mergeCell ref="N18:O18"/>
    <mergeCell ref="P18:Q18"/>
    <mergeCell ref="D21:J2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3" max="3" width="14.25"/>
    <col hidden="1" min="24" max="28" width="12.63"/>
  </cols>
  <sheetData>
    <row r="3">
      <c r="A3" s="139"/>
      <c r="B3" s="155"/>
      <c r="C3" s="156"/>
      <c r="D3" s="155" t="s">
        <v>0</v>
      </c>
      <c r="E3" s="157"/>
      <c r="F3" s="155" t="s">
        <v>1</v>
      </c>
      <c r="G3" s="157"/>
      <c r="H3" s="155" t="s">
        <v>2</v>
      </c>
      <c r="I3" s="157"/>
      <c r="J3" s="155" t="s">
        <v>3</v>
      </c>
      <c r="K3" s="157"/>
      <c r="L3" s="155" t="s">
        <v>23</v>
      </c>
      <c r="M3" s="157"/>
      <c r="N3" s="155" t="s">
        <v>24</v>
      </c>
      <c r="O3" s="157"/>
      <c r="P3" s="155" t="s">
        <v>156</v>
      </c>
      <c r="Q3" s="157"/>
      <c r="R3" s="155" t="s">
        <v>157</v>
      </c>
      <c r="S3" s="157"/>
      <c r="T3" s="155" t="s">
        <v>158</v>
      </c>
      <c r="U3" s="157"/>
      <c r="V3" s="155" t="s">
        <v>159</v>
      </c>
      <c r="W3" s="157"/>
      <c r="X3" s="155" t="s">
        <v>32</v>
      </c>
      <c r="Y3" s="158"/>
      <c r="Z3" s="158"/>
      <c r="AA3" s="158"/>
      <c r="AB3" s="157"/>
    </row>
    <row r="4">
      <c r="A4" s="159" t="s">
        <v>4</v>
      </c>
      <c r="B4" s="160" t="s">
        <v>5</v>
      </c>
      <c r="C4" s="161" t="s">
        <v>27</v>
      </c>
      <c r="D4" s="162" t="s">
        <v>6</v>
      </c>
      <c r="E4" s="163" t="s">
        <v>7</v>
      </c>
      <c r="F4" s="162" t="s">
        <v>6</v>
      </c>
      <c r="G4" s="163" t="s">
        <v>7</v>
      </c>
      <c r="H4" s="162" t="s">
        <v>6</v>
      </c>
      <c r="I4" s="163" t="s">
        <v>7</v>
      </c>
      <c r="J4" s="162" t="s">
        <v>6</v>
      </c>
      <c r="K4" s="163" t="s">
        <v>7</v>
      </c>
      <c r="L4" s="162" t="s">
        <v>6</v>
      </c>
      <c r="M4" s="163" t="s">
        <v>7</v>
      </c>
      <c r="N4" s="162" t="s">
        <v>6</v>
      </c>
      <c r="O4" s="163" t="s">
        <v>7</v>
      </c>
      <c r="P4" s="162" t="s">
        <v>6</v>
      </c>
      <c r="Q4" s="163" t="s">
        <v>7</v>
      </c>
      <c r="R4" s="162" t="s">
        <v>6</v>
      </c>
      <c r="S4" s="163" t="s">
        <v>7</v>
      </c>
      <c r="T4" s="162" t="s">
        <v>6</v>
      </c>
      <c r="U4" s="163" t="s">
        <v>7</v>
      </c>
      <c r="V4" s="162" t="s">
        <v>6</v>
      </c>
      <c r="W4" s="163" t="s">
        <v>7</v>
      </c>
      <c r="X4" s="162" t="s">
        <v>6</v>
      </c>
      <c r="Y4" s="164" t="s">
        <v>7</v>
      </c>
      <c r="Z4" s="164" t="s">
        <v>28</v>
      </c>
      <c r="AA4" s="164" t="s">
        <v>32</v>
      </c>
      <c r="AB4" s="163" t="s">
        <v>29</v>
      </c>
    </row>
    <row r="5">
      <c r="A5" s="165">
        <f t="array" ref="A5:A16">SEQUENCE(12,1)</f>
        <v>1</v>
      </c>
      <c r="B5" s="166" t="s">
        <v>225</v>
      </c>
      <c r="C5" s="172" t="s">
        <v>226</v>
      </c>
      <c r="D5" s="166">
        <v>4.0</v>
      </c>
      <c r="E5" s="168">
        <v>3.0</v>
      </c>
      <c r="F5" s="166">
        <v>0.0</v>
      </c>
      <c r="G5" s="168">
        <v>3.0</v>
      </c>
      <c r="H5" s="166">
        <v>5.0</v>
      </c>
      <c r="I5" s="195">
        <v>7.0</v>
      </c>
      <c r="J5" s="192">
        <v>7.0</v>
      </c>
      <c r="K5" s="192">
        <v>9.0</v>
      </c>
      <c r="L5" s="166">
        <v>8.0</v>
      </c>
      <c r="M5" s="168">
        <v>8.0</v>
      </c>
      <c r="N5" s="166">
        <v>6.0</v>
      </c>
      <c r="O5" s="168">
        <v>0.0</v>
      </c>
      <c r="P5" s="166"/>
      <c r="Q5" s="168"/>
      <c r="R5" s="166"/>
      <c r="S5" s="168"/>
      <c r="T5" s="166"/>
      <c r="U5" s="168"/>
      <c r="V5" s="166"/>
      <c r="W5" s="168"/>
      <c r="X5" s="166">
        <f t="shared" ref="X5:Y5" si="1">D5+F5+H5+J5+L5+N5+P5+R5+T5+V5</f>
        <v>30</v>
      </c>
      <c r="Y5" s="12">
        <f t="shared" si="1"/>
        <v>30</v>
      </c>
      <c r="Z5" s="169">
        <f t="shared" ref="Z5:Z16" si="3">IF(D5=12, 1, 0) + IF(F5=12, 1, 0) + IF(H5=12, 1, 0) + IF(J5=12, 1, 0)+IF(L5=12, 1, 0)+IF(N5=12, 1, 0)+IF(P5=12, 1, 0)+IF(R5=12, 1, 0)+IF(T5=12, 1, 0)+IF(V5=12, 1, 0)</f>
        <v>0</v>
      </c>
      <c r="AA5" s="169">
        <f t="shared" ref="AA5:AA16" si="4">SUM(X5:Y5)</f>
        <v>60</v>
      </c>
      <c r="AB5" s="168">
        <f t="shared" ref="AB5:AB16" si="5">COUNTA(D5,F5,H5,J5,L5,N5,P5,R5,T5,V5)</f>
        <v>6</v>
      </c>
    </row>
    <row r="6">
      <c r="A6" s="170">
        <v>2.0</v>
      </c>
      <c r="B6" s="171" t="s">
        <v>21</v>
      </c>
      <c r="C6" s="172" t="s">
        <v>236</v>
      </c>
      <c r="D6" s="171">
        <v>8.0</v>
      </c>
      <c r="E6" s="173">
        <v>9.0</v>
      </c>
      <c r="F6" s="171">
        <v>5.0</v>
      </c>
      <c r="G6" s="173">
        <v>7.0</v>
      </c>
      <c r="H6" s="171">
        <v>8.0</v>
      </c>
      <c r="I6" s="195">
        <v>5.0</v>
      </c>
      <c r="J6" s="192">
        <v>6.0</v>
      </c>
      <c r="K6" s="192">
        <v>13.0</v>
      </c>
      <c r="L6" s="171">
        <v>5.0</v>
      </c>
      <c r="M6" s="173">
        <v>4.0</v>
      </c>
      <c r="N6" s="171">
        <v>8.0</v>
      </c>
      <c r="O6" s="173">
        <v>13.0</v>
      </c>
      <c r="P6" s="171"/>
      <c r="Q6" s="173"/>
      <c r="R6" s="171"/>
      <c r="S6" s="173"/>
      <c r="T6" s="171"/>
      <c r="U6" s="173"/>
      <c r="V6" s="171"/>
      <c r="W6" s="173"/>
      <c r="X6" s="166">
        <f t="shared" ref="X6:Y6" si="2">D6+F6+H6+J6+L6+N6+P6+R6+T6+V6</f>
        <v>40</v>
      </c>
      <c r="Y6" s="12">
        <f t="shared" si="2"/>
        <v>51</v>
      </c>
      <c r="Z6" s="169">
        <f t="shared" si="3"/>
        <v>0</v>
      </c>
      <c r="AA6" s="169">
        <f t="shared" si="4"/>
        <v>91</v>
      </c>
      <c r="AB6" s="168">
        <f t="shared" si="5"/>
        <v>6</v>
      </c>
    </row>
    <row r="7">
      <c r="A7" s="170">
        <v>3.0</v>
      </c>
      <c r="B7" s="171" t="s">
        <v>237</v>
      </c>
      <c r="C7" s="172" t="s">
        <v>238</v>
      </c>
      <c r="D7" s="171">
        <v>12.0</v>
      </c>
      <c r="E7" s="173">
        <v>19.0</v>
      </c>
      <c r="F7" s="171">
        <v>4.0</v>
      </c>
      <c r="G7" s="173">
        <v>8.0</v>
      </c>
      <c r="H7" s="171">
        <v>1.0</v>
      </c>
      <c r="I7" s="195">
        <v>2.0</v>
      </c>
      <c r="J7" s="192">
        <v>0.0</v>
      </c>
      <c r="K7" s="192">
        <v>2.0</v>
      </c>
      <c r="L7" s="171">
        <v>9.0</v>
      </c>
      <c r="M7" s="173">
        <v>18.0</v>
      </c>
      <c r="N7" s="171">
        <v>4.0</v>
      </c>
      <c r="O7" s="173">
        <v>10.0</v>
      </c>
      <c r="P7" s="171"/>
      <c r="Q7" s="173"/>
      <c r="R7" s="171"/>
      <c r="S7" s="173"/>
      <c r="T7" s="171"/>
      <c r="U7" s="173"/>
      <c r="V7" s="171"/>
      <c r="W7" s="173"/>
      <c r="X7" s="166">
        <f t="shared" ref="X7:Y7" si="6">D7+F7+H7+J7+L7+N7+P7+R7+T7+V7</f>
        <v>30</v>
      </c>
      <c r="Y7" s="12">
        <f t="shared" si="6"/>
        <v>59</v>
      </c>
      <c r="Z7" s="169">
        <f t="shared" si="3"/>
        <v>1</v>
      </c>
      <c r="AA7" s="169">
        <f t="shared" si="4"/>
        <v>89</v>
      </c>
      <c r="AB7" s="168">
        <f t="shared" si="5"/>
        <v>6</v>
      </c>
    </row>
    <row r="8">
      <c r="A8" s="170">
        <v>4.0</v>
      </c>
      <c r="B8" s="174" t="s">
        <v>164</v>
      </c>
      <c r="C8" s="194" t="s">
        <v>165</v>
      </c>
      <c r="D8" s="171">
        <v>2.0</v>
      </c>
      <c r="E8" s="176">
        <v>12.0</v>
      </c>
      <c r="F8" s="171">
        <v>8.0</v>
      </c>
      <c r="G8" s="176">
        <v>26.0</v>
      </c>
      <c r="H8" s="171">
        <v>12.0</v>
      </c>
      <c r="I8" s="195">
        <v>21.0</v>
      </c>
      <c r="J8" s="192">
        <v>12.0</v>
      </c>
      <c r="K8" s="192">
        <v>28.0</v>
      </c>
      <c r="L8" s="171">
        <v>7.0</v>
      </c>
      <c r="M8" s="176">
        <v>25.0</v>
      </c>
      <c r="N8" s="171">
        <v>0.0</v>
      </c>
      <c r="O8" s="176">
        <v>7.0</v>
      </c>
      <c r="P8" s="171"/>
      <c r="Q8" s="176"/>
      <c r="R8" s="171"/>
      <c r="S8" s="176"/>
      <c r="T8" s="171"/>
      <c r="U8" s="176"/>
      <c r="V8" s="171"/>
      <c r="W8" s="176"/>
      <c r="X8" s="166">
        <f t="shared" ref="X8:Y8" si="7">D8+F8+H8+J8+L8+N8+P8+R8+T8+V8</f>
        <v>41</v>
      </c>
      <c r="Y8" s="12">
        <f t="shared" si="7"/>
        <v>119</v>
      </c>
      <c r="Z8" s="169">
        <f t="shared" si="3"/>
        <v>2</v>
      </c>
      <c r="AA8" s="169">
        <f t="shared" si="4"/>
        <v>160</v>
      </c>
      <c r="AB8" s="168">
        <f t="shared" si="5"/>
        <v>6</v>
      </c>
    </row>
    <row r="9">
      <c r="A9" s="170">
        <v>5.0</v>
      </c>
      <c r="B9" s="171" t="s">
        <v>172</v>
      </c>
      <c r="C9" s="172" t="s">
        <v>173</v>
      </c>
      <c r="D9" s="171">
        <v>3.0</v>
      </c>
      <c r="E9" s="173">
        <v>8.0</v>
      </c>
      <c r="F9" s="171">
        <v>3.0</v>
      </c>
      <c r="G9" s="173">
        <v>15.0</v>
      </c>
      <c r="H9" s="171">
        <v>4.0</v>
      </c>
      <c r="I9" s="195">
        <v>7.0</v>
      </c>
      <c r="J9" s="192">
        <v>4.0</v>
      </c>
      <c r="K9" s="192">
        <v>4.0</v>
      </c>
      <c r="L9" s="171">
        <v>6.0</v>
      </c>
      <c r="M9" s="173">
        <v>8.0</v>
      </c>
      <c r="N9" s="171">
        <v>1.0</v>
      </c>
      <c r="O9" s="173">
        <v>3.0</v>
      </c>
      <c r="P9" s="171"/>
      <c r="Q9" s="173"/>
      <c r="R9" s="171"/>
      <c r="S9" s="173"/>
      <c r="T9" s="171"/>
      <c r="U9" s="173"/>
      <c r="V9" s="171"/>
      <c r="W9" s="173"/>
      <c r="X9" s="166">
        <f t="shared" ref="X9:Y9" si="8">D9+F9+H9+J9+L9+N9+P9+R9+T9+V9</f>
        <v>21</v>
      </c>
      <c r="Y9" s="12">
        <f t="shared" si="8"/>
        <v>45</v>
      </c>
      <c r="Z9" s="169">
        <f t="shared" si="3"/>
        <v>0</v>
      </c>
      <c r="AA9" s="169">
        <f t="shared" si="4"/>
        <v>66</v>
      </c>
      <c r="AB9" s="168">
        <f t="shared" si="5"/>
        <v>6</v>
      </c>
    </row>
    <row r="10">
      <c r="A10" s="170">
        <v>6.0</v>
      </c>
      <c r="B10" s="171" t="s">
        <v>239</v>
      </c>
      <c r="C10" s="172" t="s">
        <v>163</v>
      </c>
      <c r="D10" s="171">
        <v>5.0</v>
      </c>
      <c r="E10" s="173">
        <v>12.0</v>
      </c>
      <c r="F10" s="171">
        <v>9.0</v>
      </c>
      <c r="G10" s="173">
        <v>14.0</v>
      </c>
      <c r="H10" s="171">
        <v>2.0</v>
      </c>
      <c r="I10" s="195">
        <v>4.0</v>
      </c>
      <c r="J10" s="192">
        <v>3.0</v>
      </c>
      <c r="K10" s="192">
        <v>12.0</v>
      </c>
      <c r="L10" s="171">
        <v>3.0</v>
      </c>
      <c r="M10" s="173">
        <v>4.0</v>
      </c>
      <c r="N10" s="171">
        <v>9.0</v>
      </c>
      <c r="O10" s="173">
        <v>4.0</v>
      </c>
      <c r="P10" s="171"/>
      <c r="Q10" s="173"/>
      <c r="R10" s="171"/>
      <c r="S10" s="173"/>
      <c r="T10" s="171"/>
      <c r="U10" s="173"/>
      <c r="V10" s="171"/>
      <c r="W10" s="173"/>
      <c r="X10" s="166">
        <f t="shared" ref="X10:Y10" si="9">D10+F10+H10+J10+L10+N10+P10+R10+T10+V10</f>
        <v>31</v>
      </c>
      <c r="Y10" s="12">
        <f t="shared" si="9"/>
        <v>50</v>
      </c>
      <c r="Z10" s="169">
        <f t="shared" si="3"/>
        <v>0</v>
      </c>
      <c r="AA10" s="169">
        <f t="shared" si="4"/>
        <v>81</v>
      </c>
      <c r="AB10" s="168">
        <f t="shared" si="5"/>
        <v>6</v>
      </c>
    </row>
    <row r="11">
      <c r="A11" s="170">
        <v>7.0</v>
      </c>
      <c r="B11" s="171" t="s">
        <v>180</v>
      </c>
      <c r="C11" s="172" t="s">
        <v>181</v>
      </c>
      <c r="D11" s="171">
        <v>9.0</v>
      </c>
      <c r="E11" s="176">
        <v>17.0</v>
      </c>
      <c r="F11" s="171">
        <v>1.0</v>
      </c>
      <c r="G11" s="176">
        <v>4.0</v>
      </c>
      <c r="H11" s="171">
        <v>7.0</v>
      </c>
      <c r="I11" s="195">
        <v>19.0</v>
      </c>
      <c r="J11" s="192">
        <v>8.0</v>
      </c>
      <c r="K11" s="192">
        <v>14.0</v>
      </c>
      <c r="L11" s="171">
        <v>4.0</v>
      </c>
      <c r="M11" s="176">
        <v>7.0</v>
      </c>
      <c r="N11" s="171">
        <v>5.0</v>
      </c>
      <c r="O11" s="176">
        <v>8.0</v>
      </c>
      <c r="P11" s="171"/>
      <c r="Q11" s="176"/>
      <c r="R11" s="171"/>
      <c r="S11" s="176"/>
      <c r="T11" s="171"/>
      <c r="U11" s="176"/>
      <c r="V11" s="171"/>
      <c r="W11" s="176"/>
      <c r="X11" s="166">
        <f t="shared" ref="X11:Y11" si="10">D11+F11+H11+J11+L11+N11+P11+R11+T11+V11</f>
        <v>34</v>
      </c>
      <c r="Y11" s="12">
        <f t="shared" si="10"/>
        <v>69</v>
      </c>
      <c r="Z11" s="169">
        <f t="shared" si="3"/>
        <v>0</v>
      </c>
      <c r="AA11" s="169">
        <f t="shared" si="4"/>
        <v>103</v>
      </c>
      <c r="AB11" s="168">
        <f t="shared" si="5"/>
        <v>6</v>
      </c>
    </row>
    <row r="12">
      <c r="A12" s="170">
        <v>8.0</v>
      </c>
      <c r="B12" s="171" t="s">
        <v>240</v>
      </c>
      <c r="C12" s="172" t="s">
        <v>241</v>
      </c>
      <c r="D12" s="171">
        <v>7.0</v>
      </c>
      <c r="E12" s="173">
        <v>14.0</v>
      </c>
      <c r="F12" s="171">
        <v>7.0</v>
      </c>
      <c r="G12" s="173">
        <v>6.0</v>
      </c>
      <c r="H12" s="171">
        <v>6.0</v>
      </c>
      <c r="I12" s="195">
        <v>17.0</v>
      </c>
      <c r="J12" s="192">
        <v>9.0</v>
      </c>
      <c r="K12" s="192">
        <v>10.0</v>
      </c>
      <c r="L12" s="171">
        <v>12.0</v>
      </c>
      <c r="M12" s="173">
        <v>23.0</v>
      </c>
      <c r="N12" s="171">
        <v>12.0</v>
      </c>
      <c r="O12" s="173">
        <v>20.0</v>
      </c>
      <c r="P12" s="171"/>
      <c r="Q12" s="173"/>
      <c r="R12" s="171"/>
      <c r="S12" s="173"/>
      <c r="T12" s="171"/>
      <c r="U12" s="173"/>
      <c r="V12" s="171"/>
      <c r="W12" s="173"/>
      <c r="X12" s="166">
        <f t="shared" ref="X12:Y12" si="11">D12+F12+H12+J12+L12+N12+P12+R12+T12+V12</f>
        <v>53</v>
      </c>
      <c r="Y12" s="12">
        <f t="shared" si="11"/>
        <v>90</v>
      </c>
      <c r="Z12" s="169">
        <f t="shared" si="3"/>
        <v>2</v>
      </c>
      <c r="AA12" s="169">
        <f t="shared" si="4"/>
        <v>143</v>
      </c>
      <c r="AB12" s="168">
        <f t="shared" si="5"/>
        <v>6</v>
      </c>
    </row>
    <row r="13">
      <c r="A13" s="170">
        <v>9.0</v>
      </c>
      <c r="B13" s="166" t="s">
        <v>242</v>
      </c>
      <c r="C13" s="167" t="s">
        <v>243</v>
      </c>
      <c r="D13" s="171">
        <v>1.0</v>
      </c>
      <c r="E13" s="173">
        <v>4.0</v>
      </c>
      <c r="F13" s="171">
        <v>6.0</v>
      </c>
      <c r="G13" s="173">
        <v>2.0</v>
      </c>
      <c r="H13" s="171">
        <v>0.0</v>
      </c>
      <c r="I13" s="195">
        <v>1.0</v>
      </c>
      <c r="J13" s="192">
        <v>2.0</v>
      </c>
      <c r="K13" s="192">
        <v>4.0</v>
      </c>
      <c r="L13" s="171">
        <v>0.0</v>
      </c>
      <c r="M13" s="173">
        <v>3.0</v>
      </c>
      <c r="N13" s="171">
        <v>3.0</v>
      </c>
      <c r="O13" s="173">
        <v>1.0</v>
      </c>
      <c r="P13" s="171"/>
      <c r="Q13" s="173"/>
      <c r="R13" s="171"/>
      <c r="S13" s="173"/>
      <c r="T13" s="171"/>
      <c r="U13" s="173"/>
      <c r="V13" s="171"/>
      <c r="W13" s="173"/>
      <c r="X13" s="166">
        <f t="shared" ref="X13:Y13" si="12">D13+F13+H13+J13+L13+N13+P13+R13+T13+V13</f>
        <v>12</v>
      </c>
      <c r="Y13" s="12">
        <f t="shared" si="12"/>
        <v>15</v>
      </c>
      <c r="Z13" s="169">
        <f t="shared" si="3"/>
        <v>0</v>
      </c>
      <c r="AA13" s="169">
        <f t="shared" si="4"/>
        <v>27</v>
      </c>
      <c r="AB13" s="168">
        <f t="shared" si="5"/>
        <v>6</v>
      </c>
    </row>
    <row r="14">
      <c r="A14" s="170">
        <v>10.0</v>
      </c>
      <c r="B14" s="171" t="s">
        <v>244</v>
      </c>
      <c r="C14" s="172" t="s">
        <v>245</v>
      </c>
      <c r="D14" s="171">
        <v>6.0</v>
      </c>
      <c r="E14" s="176">
        <v>8.0</v>
      </c>
      <c r="F14" s="171">
        <v>12.0</v>
      </c>
      <c r="G14" s="176">
        <v>19.0</v>
      </c>
      <c r="H14" s="171">
        <v>3.0</v>
      </c>
      <c r="I14" s="195">
        <v>8.0</v>
      </c>
      <c r="J14" s="192">
        <v>0.0</v>
      </c>
      <c r="K14" s="192">
        <v>0.0</v>
      </c>
      <c r="L14" s="171">
        <v>0.0</v>
      </c>
      <c r="M14" s="176">
        <v>1.0</v>
      </c>
      <c r="N14" s="171">
        <v>7.0</v>
      </c>
      <c r="O14" s="176">
        <v>26.0</v>
      </c>
      <c r="P14" s="171"/>
      <c r="Q14" s="176"/>
      <c r="R14" s="171"/>
      <c r="S14" s="176"/>
      <c r="T14" s="171"/>
      <c r="U14" s="176"/>
      <c r="V14" s="171"/>
      <c r="W14" s="176"/>
      <c r="X14" s="166">
        <f t="shared" ref="X14:Y14" si="13">D14+F14+H14+J14+L14+N14+P14+R14+T14+V14</f>
        <v>28</v>
      </c>
      <c r="Y14" s="12">
        <f t="shared" si="13"/>
        <v>62</v>
      </c>
      <c r="Z14" s="169">
        <f t="shared" si="3"/>
        <v>1</v>
      </c>
      <c r="AA14" s="169">
        <f t="shared" si="4"/>
        <v>90</v>
      </c>
      <c r="AB14" s="168">
        <f t="shared" si="5"/>
        <v>6</v>
      </c>
    </row>
    <row r="15">
      <c r="A15" s="170">
        <v>11.0</v>
      </c>
      <c r="B15" s="171" t="s">
        <v>246</v>
      </c>
      <c r="C15" s="172" t="s">
        <v>247</v>
      </c>
      <c r="D15" s="171">
        <v>0.0</v>
      </c>
      <c r="E15" s="173">
        <v>1.0</v>
      </c>
      <c r="F15" s="171">
        <v>2.0</v>
      </c>
      <c r="G15" s="173">
        <v>11.0</v>
      </c>
      <c r="H15" s="171">
        <v>0.0</v>
      </c>
      <c r="I15" s="195">
        <v>1.0</v>
      </c>
      <c r="J15" s="192">
        <v>5.0</v>
      </c>
      <c r="K15" s="192">
        <v>2.0</v>
      </c>
      <c r="L15" s="171">
        <v>1.0</v>
      </c>
      <c r="M15" s="173">
        <v>6.0</v>
      </c>
      <c r="N15" s="171">
        <v>0.0</v>
      </c>
      <c r="O15" s="173">
        <v>4.0</v>
      </c>
      <c r="P15" s="171"/>
      <c r="Q15" s="173"/>
      <c r="R15" s="171"/>
      <c r="S15" s="173"/>
      <c r="T15" s="171"/>
      <c r="U15" s="173"/>
      <c r="V15" s="171"/>
      <c r="W15" s="173"/>
      <c r="X15" s="166">
        <f t="shared" ref="X15:Y15" si="14">D15+F15+H15+J15+L15+N15+P15+R15+T15+V15</f>
        <v>8</v>
      </c>
      <c r="Y15" s="12">
        <f t="shared" si="14"/>
        <v>25</v>
      </c>
      <c r="Z15" s="169">
        <f t="shared" si="3"/>
        <v>0</v>
      </c>
      <c r="AA15" s="169">
        <f t="shared" si="4"/>
        <v>33</v>
      </c>
      <c r="AB15" s="168">
        <f t="shared" si="5"/>
        <v>6</v>
      </c>
    </row>
    <row r="16">
      <c r="A16" s="177">
        <v>12.0</v>
      </c>
      <c r="B16" s="178" t="s">
        <v>20</v>
      </c>
      <c r="C16" s="179" t="s">
        <v>248</v>
      </c>
      <c r="D16" s="180">
        <v>0.0</v>
      </c>
      <c r="E16" s="181">
        <v>4.0</v>
      </c>
      <c r="F16" s="178">
        <v>0.0</v>
      </c>
      <c r="G16" s="182">
        <v>0.0</v>
      </c>
      <c r="H16" s="178">
        <v>9.0</v>
      </c>
      <c r="I16" s="195">
        <v>8.0</v>
      </c>
      <c r="J16" s="192">
        <v>1.0</v>
      </c>
      <c r="K16" s="192">
        <v>2.0</v>
      </c>
      <c r="L16" s="178">
        <v>2.0</v>
      </c>
      <c r="M16" s="182">
        <v>0.0</v>
      </c>
      <c r="N16" s="178">
        <v>2.0</v>
      </c>
      <c r="O16" s="182">
        <v>6.0</v>
      </c>
      <c r="P16" s="178"/>
      <c r="Q16" s="182"/>
      <c r="R16" s="178"/>
      <c r="S16" s="182"/>
      <c r="T16" s="178"/>
      <c r="U16" s="182"/>
      <c r="V16" s="178"/>
      <c r="W16" s="182"/>
      <c r="X16" s="183">
        <f t="shared" ref="X16:Y16" si="15">D16+F16+H16+J16+L16+N16+P16+R16+T16+V16</f>
        <v>14</v>
      </c>
      <c r="Y16" s="184">
        <f t="shared" si="15"/>
        <v>20</v>
      </c>
      <c r="Z16" s="185">
        <f t="shared" si="3"/>
        <v>0</v>
      </c>
      <c r="AA16" s="185">
        <f t="shared" si="4"/>
        <v>34</v>
      </c>
      <c r="AB16" s="186">
        <f t="shared" si="5"/>
        <v>6</v>
      </c>
    </row>
    <row r="17">
      <c r="D17" s="187">
        <f t="shared" ref="D17:W17" si="16">SUM(D5:D16)</f>
        <v>57</v>
      </c>
      <c r="E17" s="187">
        <f t="shared" si="16"/>
        <v>111</v>
      </c>
      <c r="F17" s="187">
        <f t="shared" si="16"/>
        <v>57</v>
      </c>
      <c r="G17" s="187">
        <f t="shared" si="16"/>
        <v>115</v>
      </c>
      <c r="H17" s="187">
        <f t="shared" si="16"/>
        <v>57</v>
      </c>
      <c r="I17" s="187">
        <f t="shared" si="16"/>
        <v>100</v>
      </c>
      <c r="J17" s="187">
        <f t="shared" si="16"/>
        <v>57</v>
      </c>
      <c r="K17" s="187">
        <f t="shared" si="16"/>
        <v>100</v>
      </c>
      <c r="L17" s="187">
        <f t="shared" si="16"/>
        <v>57</v>
      </c>
      <c r="M17" s="187">
        <f t="shared" si="16"/>
        <v>107</v>
      </c>
      <c r="N17" s="187">
        <f t="shared" si="16"/>
        <v>57</v>
      </c>
      <c r="O17" s="187">
        <f t="shared" si="16"/>
        <v>102</v>
      </c>
      <c r="P17" s="187">
        <f t="shared" si="16"/>
        <v>0</v>
      </c>
      <c r="Q17" s="187">
        <f t="shared" si="16"/>
        <v>0</v>
      </c>
      <c r="R17" s="187">
        <f t="shared" si="16"/>
        <v>0</v>
      </c>
      <c r="S17" s="187">
        <f t="shared" si="16"/>
        <v>0</v>
      </c>
      <c r="T17" s="187">
        <f t="shared" si="16"/>
        <v>0</v>
      </c>
      <c r="U17" s="187">
        <f t="shared" si="16"/>
        <v>0</v>
      </c>
      <c r="V17" s="187">
        <f t="shared" si="16"/>
        <v>0</v>
      </c>
      <c r="W17" s="188">
        <f t="shared" si="16"/>
        <v>0</v>
      </c>
      <c r="X17" s="5"/>
      <c r="AA17" s="13"/>
      <c r="AB17" s="13"/>
    </row>
    <row r="18">
      <c r="D18" s="188">
        <f>SUM(D17:E17)</f>
        <v>168</v>
      </c>
      <c r="E18" s="189"/>
      <c r="F18" s="188">
        <f>SUM(F17:G17)</f>
        <v>172</v>
      </c>
      <c r="G18" s="189"/>
      <c r="H18" s="188">
        <f>SUM(H17:I17)</f>
        <v>157</v>
      </c>
      <c r="I18" s="189"/>
      <c r="J18" s="188">
        <f>SUM(J17:K17)</f>
        <v>157</v>
      </c>
      <c r="K18" s="189"/>
      <c r="L18" s="188">
        <f>SUM(L17:M17)</f>
        <v>164</v>
      </c>
      <c r="M18" s="189"/>
      <c r="N18" s="188">
        <f>SUM(N17:O17)</f>
        <v>159</v>
      </c>
      <c r="O18" s="189"/>
      <c r="P18" s="188">
        <f>SUM(P17:Q17)</f>
        <v>0</v>
      </c>
      <c r="Q18" s="189"/>
      <c r="R18" s="188">
        <f>SUM(R17:S17)</f>
        <v>0</v>
      </c>
      <c r="S18" s="189"/>
      <c r="T18" s="188">
        <f>SUM(T17:U17)</f>
        <v>0</v>
      </c>
      <c r="U18" s="189"/>
      <c r="V18" s="188">
        <f>SUM(V17:W17)</f>
        <v>0</v>
      </c>
      <c r="W18" s="189"/>
      <c r="X18" s="5"/>
      <c r="AA18" s="13"/>
      <c r="AB18" s="13"/>
    </row>
    <row r="21">
      <c r="D21" s="40" t="s">
        <v>133</v>
      </c>
      <c r="E21" s="41"/>
      <c r="F21" s="41"/>
      <c r="G21" s="41"/>
      <c r="H21" s="41"/>
      <c r="I21" s="41"/>
      <c r="J21" s="42"/>
    </row>
    <row r="22">
      <c r="D22" s="48" t="s">
        <v>4</v>
      </c>
      <c r="E22" s="48" t="s">
        <v>27</v>
      </c>
      <c r="F22" s="48" t="s">
        <v>28</v>
      </c>
      <c r="G22" s="48" t="s">
        <v>29</v>
      </c>
      <c r="H22" s="48" t="s">
        <v>30</v>
      </c>
      <c r="I22" s="48" t="s">
        <v>31</v>
      </c>
      <c r="J22" s="48" t="s">
        <v>32</v>
      </c>
    </row>
    <row r="23">
      <c r="D23" s="55">
        <v>1.0</v>
      </c>
      <c r="E23" s="56" t="str">
        <f t="array" ref="E23:J34">SORT(CHOOSECOLS(C5:AE16, 1,24,26, 22, 23,25),3,FALSE, 6,FALSE,5, FALSE,4,FALSE)</f>
        <v>RAIDERS UNITED</v>
      </c>
      <c r="F23" s="56">
        <v>2.0</v>
      </c>
      <c r="G23" s="56">
        <v>6.0</v>
      </c>
      <c r="H23" s="57">
        <v>41.0</v>
      </c>
      <c r="I23" s="57">
        <v>119.0</v>
      </c>
      <c r="J23" s="58">
        <v>160.0</v>
      </c>
      <c r="K23" s="26" t="s">
        <v>188</v>
      </c>
      <c r="L23" s="190" t="str">
        <f t="shared" ref="L23:L34" si="17">CONCATENATE(K23,F23)</f>
        <v>X2</v>
      </c>
    </row>
    <row r="24">
      <c r="D24" s="60">
        <v>2.0</v>
      </c>
      <c r="E24" s="61" t="s">
        <v>241</v>
      </c>
      <c r="F24" s="61">
        <v>2.0</v>
      </c>
      <c r="G24" s="61">
        <v>6.0</v>
      </c>
      <c r="H24" s="62">
        <v>53.0</v>
      </c>
      <c r="I24" s="62">
        <v>90.0</v>
      </c>
      <c r="J24" s="63">
        <v>143.0</v>
      </c>
      <c r="K24" s="26" t="s">
        <v>188</v>
      </c>
      <c r="L24" s="190" t="str">
        <f t="shared" si="17"/>
        <v>X2</v>
      </c>
    </row>
    <row r="25">
      <c r="D25" s="64">
        <v>3.0</v>
      </c>
      <c r="E25" s="65" t="s">
        <v>181</v>
      </c>
      <c r="F25" s="66">
        <v>0.0</v>
      </c>
      <c r="G25" s="66">
        <v>6.0</v>
      </c>
      <c r="H25" s="67">
        <v>34.0</v>
      </c>
      <c r="I25" s="67">
        <v>69.0</v>
      </c>
      <c r="J25" s="68">
        <v>103.0</v>
      </c>
      <c r="K25" s="26" t="s">
        <v>188</v>
      </c>
      <c r="L25" s="190" t="str">
        <f t="shared" si="17"/>
        <v>X0</v>
      </c>
    </row>
    <row r="26">
      <c r="D26" s="69">
        <v>4.0</v>
      </c>
      <c r="E26" s="70" t="s">
        <v>236</v>
      </c>
      <c r="F26" s="71">
        <v>0.0</v>
      </c>
      <c r="G26" s="71">
        <v>6.0</v>
      </c>
      <c r="H26" s="72">
        <v>40.0</v>
      </c>
      <c r="I26" s="72">
        <v>51.0</v>
      </c>
      <c r="J26" s="73">
        <v>91.0</v>
      </c>
      <c r="K26" s="26" t="s">
        <v>188</v>
      </c>
      <c r="L26" s="190" t="str">
        <f t="shared" si="17"/>
        <v>X0</v>
      </c>
    </row>
    <row r="27">
      <c r="D27" s="74">
        <v>5.0</v>
      </c>
      <c r="E27" s="75" t="s">
        <v>245</v>
      </c>
      <c r="F27" s="76">
        <v>1.0</v>
      </c>
      <c r="G27" s="76">
        <v>6.0</v>
      </c>
      <c r="H27" s="77">
        <v>28.0</v>
      </c>
      <c r="I27" s="77">
        <v>62.0</v>
      </c>
      <c r="J27" s="78">
        <v>90.0</v>
      </c>
      <c r="K27" s="26" t="s">
        <v>188</v>
      </c>
      <c r="L27" s="190" t="str">
        <f t="shared" si="17"/>
        <v>X1</v>
      </c>
    </row>
    <row r="28">
      <c r="D28" s="74">
        <v>6.0</v>
      </c>
      <c r="E28" s="75" t="s">
        <v>238</v>
      </c>
      <c r="F28" s="76">
        <v>1.0</v>
      </c>
      <c r="G28" s="76">
        <v>6.0</v>
      </c>
      <c r="H28" s="77">
        <v>30.0</v>
      </c>
      <c r="I28" s="77">
        <v>59.0</v>
      </c>
      <c r="J28" s="78">
        <v>89.0</v>
      </c>
      <c r="K28" s="26" t="s">
        <v>188</v>
      </c>
      <c r="L28" s="190" t="str">
        <f t="shared" si="17"/>
        <v>X1</v>
      </c>
    </row>
    <row r="29">
      <c r="D29" s="79">
        <v>7.0</v>
      </c>
      <c r="E29" s="80" t="s">
        <v>163</v>
      </c>
      <c r="F29" s="81">
        <v>0.0</v>
      </c>
      <c r="G29" s="81">
        <v>6.0</v>
      </c>
      <c r="H29" s="82">
        <v>31.0</v>
      </c>
      <c r="I29" s="82">
        <v>50.0</v>
      </c>
      <c r="J29" s="83">
        <v>81.0</v>
      </c>
      <c r="K29" s="26" t="s">
        <v>188</v>
      </c>
      <c r="L29" s="190" t="str">
        <f t="shared" si="17"/>
        <v>X0</v>
      </c>
    </row>
    <row r="30">
      <c r="D30" s="85">
        <v>8.0</v>
      </c>
      <c r="E30" s="86" t="s">
        <v>173</v>
      </c>
      <c r="F30" s="87">
        <v>0.0</v>
      </c>
      <c r="G30" s="87">
        <v>6.0</v>
      </c>
      <c r="H30" s="88">
        <v>21.0</v>
      </c>
      <c r="I30" s="88">
        <v>45.0</v>
      </c>
      <c r="J30" s="89">
        <v>66.0</v>
      </c>
      <c r="K30" s="26" t="s">
        <v>188</v>
      </c>
      <c r="L30" s="190" t="str">
        <f t="shared" si="17"/>
        <v>X0</v>
      </c>
    </row>
    <row r="31">
      <c r="D31" s="90">
        <v>9.0</v>
      </c>
      <c r="E31" s="91" t="s">
        <v>226</v>
      </c>
      <c r="F31" s="92">
        <v>0.0</v>
      </c>
      <c r="G31" s="92">
        <v>6.0</v>
      </c>
      <c r="H31" s="93">
        <v>30.0</v>
      </c>
      <c r="I31" s="93">
        <v>30.0</v>
      </c>
      <c r="J31" s="94">
        <v>60.0</v>
      </c>
      <c r="K31" s="26" t="s">
        <v>188</v>
      </c>
      <c r="L31" s="190" t="str">
        <f t="shared" si="17"/>
        <v>X0</v>
      </c>
    </row>
    <row r="32">
      <c r="D32" s="90">
        <v>10.0</v>
      </c>
      <c r="E32" s="91" t="s">
        <v>248</v>
      </c>
      <c r="F32" s="92">
        <v>0.0</v>
      </c>
      <c r="G32" s="92">
        <v>6.0</v>
      </c>
      <c r="H32" s="93">
        <v>14.0</v>
      </c>
      <c r="I32" s="93">
        <v>20.0</v>
      </c>
      <c r="J32" s="94">
        <v>34.0</v>
      </c>
      <c r="K32" s="26" t="s">
        <v>188</v>
      </c>
      <c r="L32" s="190" t="str">
        <f t="shared" si="17"/>
        <v>X0</v>
      </c>
    </row>
    <row r="33">
      <c r="D33" s="90">
        <v>11.0</v>
      </c>
      <c r="E33" s="91" t="s">
        <v>247</v>
      </c>
      <c r="F33" s="92">
        <v>0.0</v>
      </c>
      <c r="G33" s="92">
        <v>6.0</v>
      </c>
      <c r="H33" s="93">
        <v>8.0</v>
      </c>
      <c r="I33" s="93">
        <v>25.0</v>
      </c>
      <c r="J33" s="94">
        <v>33.0</v>
      </c>
      <c r="K33" s="26" t="s">
        <v>188</v>
      </c>
      <c r="L33" s="190" t="str">
        <f t="shared" si="17"/>
        <v>X0</v>
      </c>
    </row>
    <row r="34">
      <c r="D34" s="100">
        <v>12.0</v>
      </c>
      <c r="E34" s="101" t="s">
        <v>243</v>
      </c>
      <c r="F34" s="102">
        <v>0.0</v>
      </c>
      <c r="G34" s="102">
        <v>6.0</v>
      </c>
      <c r="H34" s="103">
        <v>12.0</v>
      </c>
      <c r="I34" s="103">
        <v>15.0</v>
      </c>
      <c r="J34" s="104">
        <v>27.0</v>
      </c>
      <c r="K34" s="26" t="s">
        <v>188</v>
      </c>
      <c r="L34" s="190" t="str">
        <f t="shared" si="17"/>
        <v>X0</v>
      </c>
    </row>
  </sheetData>
  <mergeCells count="22">
    <mergeCell ref="R3:S3"/>
    <mergeCell ref="T3:U3"/>
    <mergeCell ref="V3:W3"/>
    <mergeCell ref="X3:AB3"/>
    <mergeCell ref="D3:E3"/>
    <mergeCell ref="F3:G3"/>
    <mergeCell ref="H3:I3"/>
    <mergeCell ref="J3:K3"/>
    <mergeCell ref="L3:M3"/>
    <mergeCell ref="N3:O3"/>
    <mergeCell ref="P3:Q3"/>
    <mergeCell ref="R18:S18"/>
    <mergeCell ref="T18:U18"/>
    <mergeCell ref="V18:W18"/>
    <mergeCell ref="D18:E18"/>
    <mergeCell ref="F18:G18"/>
    <mergeCell ref="H18:I18"/>
    <mergeCell ref="J18:K18"/>
    <mergeCell ref="L18:M18"/>
    <mergeCell ref="N18:O18"/>
    <mergeCell ref="P18:Q18"/>
    <mergeCell ref="D21:J2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3.25"/>
    <col customWidth="1" min="3" max="3" width="10.88"/>
    <col customWidth="1" min="4" max="4" width="6.38"/>
    <col customWidth="1" min="5" max="5" width="5.88"/>
    <col customWidth="1" min="6" max="6" width="6.13"/>
    <col customWidth="1" min="7" max="7" width="7.63"/>
    <col customWidth="1" min="8" max="8" width="3.25"/>
    <col customWidth="1" min="9" max="9" width="10.0"/>
    <col customWidth="1" min="10" max="10" width="6.88"/>
    <col customWidth="1" min="11" max="11" width="5.88"/>
    <col customWidth="1" min="12" max="12" width="6.0"/>
    <col customWidth="1" min="13" max="13" width="5.88"/>
    <col customWidth="1" min="14" max="14" width="3.75"/>
    <col customWidth="1" min="15" max="15" width="13.25"/>
    <col customWidth="1" min="16" max="16" width="6.88"/>
    <col customWidth="1" min="17" max="17" width="7.5"/>
    <col customWidth="1" min="18" max="18" width="5.63"/>
    <col customWidth="1" min="19" max="19" width="6.63"/>
    <col customWidth="1" min="20" max="20" width="5.25"/>
    <col customWidth="1" min="21" max="21" width="3.25"/>
    <col customWidth="1" min="22" max="22" width="10.5"/>
    <col customWidth="1" min="23" max="23" width="11.75"/>
    <col customWidth="1" min="24" max="25" width="6.88"/>
    <col customWidth="1" min="26" max="26" width="5.75"/>
    <col customWidth="1" min="27" max="27" width="5.88"/>
    <col customWidth="1" min="28" max="28" width="5.75"/>
    <col customWidth="1" min="29" max="29" width="4.25"/>
    <col customWidth="1" min="30" max="30" width="10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2" t="s">
        <v>0</v>
      </c>
      <c r="C2" s="3"/>
      <c r="D2" s="3"/>
      <c r="E2" s="3"/>
      <c r="F2" s="4"/>
      <c r="G2" s="1"/>
      <c r="H2" s="2" t="s">
        <v>1</v>
      </c>
      <c r="I2" s="3"/>
      <c r="J2" s="3"/>
      <c r="K2" s="3"/>
      <c r="L2" s="4"/>
      <c r="M2" s="1"/>
      <c r="N2" s="2" t="s">
        <v>2</v>
      </c>
      <c r="O2" s="3"/>
      <c r="P2" s="3"/>
      <c r="Q2" s="3"/>
      <c r="R2" s="4"/>
      <c r="S2" s="5"/>
      <c r="T2" s="1"/>
      <c r="U2" s="2" t="s">
        <v>3</v>
      </c>
      <c r="V2" s="3"/>
      <c r="W2" s="3"/>
      <c r="X2" s="3"/>
      <c r="Y2" s="4"/>
      <c r="Z2" s="5"/>
      <c r="AB2" s="5"/>
      <c r="AC2" s="1"/>
      <c r="AD2" s="1"/>
    </row>
    <row r="3">
      <c r="A3" s="1"/>
      <c r="B3" s="6" t="s">
        <v>4</v>
      </c>
      <c r="C3" s="7" t="s">
        <v>5</v>
      </c>
      <c r="D3" s="6" t="s">
        <v>6</v>
      </c>
      <c r="E3" s="6" t="s">
        <v>7</v>
      </c>
      <c r="F3" s="6" t="s">
        <v>8</v>
      </c>
      <c r="G3" s="1"/>
      <c r="H3" s="6" t="s">
        <v>4</v>
      </c>
      <c r="I3" s="8" t="s">
        <v>5</v>
      </c>
      <c r="J3" s="6" t="s">
        <v>6</v>
      </c>
      <c r="K3" s="6" t="s">
        <v>7</v>
      </c>
      <c r="L3" s="6" t="s">
        <v>8</v>
      </c>
      <c r="M3" s="1"/>
      <c r="N3" s="6" t="s">
        <v>4</v>
      </c>
      <c r="O3" s="8" t="s">
        <v>5</v>
      </c>
      <c r="P3" s="6" t="s">
        <v>6</v>
      </c>
      <c r="Q3" s="6" t="s">
        <v>7</v>
      </c>
      <c r="R3" s="6" t="s">
        <v>8</v>
      </c>
      <c r="S3" s="9"/>
      <c r="T3" s="1"/>
      <c r="U3" s="6" t="s">
        <v>4</v>
      </c>
      <c r="V3" s="8" t="s">
        <v>5</v>
      </c>
      <c r="W3" s="6" t="s">
        <v>6</v>
      </c>
      <c r="X3" s="6" t="s">
        <v>7</v>
      </c>
      <c r="Y3" s="6" t="s">
        <v>8</v>
      </c>
      <c r="AB3" s="1"/>
      <c r="AC3" s="1"/>
      <c r="AD3" s="1"/>
    </row>
    <row r="4">
      <c r="A4" s="1"/>
      <c r="B4" s="10">
        <f t="array" ref="B4:B15">SEQUENCE(12,1)</f>
        <v>1</v>
      </c>
      <c r="C4" s="11" t="s">
        <v>237</v>
      </c>
      <c r="D4" s="12">
        <v>12.0</v>
      </c>
      <c r="E4" s="5">
        <v>22.0</v>
      </c>
      <c r="F4" s="50">
        <f t="shared" ref="F4:F14" si="1">D4+E4</f>
        <v>34</v>
      </c>
      <c r="G4" s="1"/>
      <c r="H4" s="10">
        <f t="array" ref="H4:H15">SEQUENCE(12,1)</f>
        <v>1</v>
      </c>
      <c r="I4" s="15" t="str">
        <f t="shared" ref="I4:I15" si="2">C4</f>
        <v>HsL</v>
      </c>
      <c r="J4" s="12">
        <v>4.0</v>
      </c>
      <c r="K4" s="12">
        <v>4.0</v>
      </c>
      <c r="L4" s="14">
        <f t="shared" ref="L4:L14" si="3">J4+K4</f>
        <v>8</v>
      </c>
      <c r="M4" s="1"/>
      <c r="N4" s="10">
        <f t="array" ref="N4:N15">SEQUENCE(12,1)</f>
        <v>1</v>
      </c>
      <c r="O4" s="15" t="str">
        <f t="shared" ref="O4:O15" si="4">C4</f>
        <v>HsL</v>
      </c>
      <c r="P4" s="12">
        <v>4.0</v>
      </c>
      <c r="Q4" s="12">
        <v>10.0</v>
      </c>
      <c r="R4" s="14">
        <f t="shared" ref="R4:R15" si="5">P4+Q4</f>
        <v>14</v>
      </c>
      <c r="S4" s="16"/>
      <c r="T4" s="1"/>
      <c r="U4" s="10">
        <f t="array" ref="U4:U15">SEQUENCE(12,1)</f>
        <v>1</v>
      </c>
      <c r="V4" s="15" t="str">
        <f t="shared" ref="V4:V15" si="6">C4</f>
        <v>HsL</v>
      </c>
      <c r="W4" s="12">
        <v>2.0</v>
      </c>
      <c r="X4" s="12">
        <v>7.0</v>
      </c>
      <c r="Y4" s="14">
        <f t="shared" ref="Y4:Y15" si="7">W4+X4</f>
        <v>9</v>
      </c>
      <c r="AB4" s="1"/>
      <c r="AC4" s="1"/>
      <c r="AD4" s="1"/>
    </row>
    <row r="5">
      <c r="A5" s="1"/>
      <c r="B5" s="17">
        <v>2.0</v>
      </c>
      <c r="C5" s="196" t="s">
        <v>249</v>
      </c>
      <c r="D5" s="19">
        <v>9.0</v>
      </c>
      <c r="E5" s="19">
        <v>10.0</v>
      </c>
      <c r="F5" s="22">
        <f t="shared" si="1"/>
        <v>19</v>
      </c>
      <c r="G5" s="1"/>
      <c r="H5" s="17">
        <v>2.0</v>
      </c>
      <c r="I5" s="21" t="str">
        <f t="shared" si="2"/>
        <v>NKG</v>
      </c>
      <c r="J5" s="19">
        <v>9.0</v>
      </c>
      <c r="K5" s="19">
        <v>3.0</v>
      </c>
      <c r="L5" s="22">
        <f t="shared" si="3"/>
        <v>12</v>
      </c>
      <c r="M5" s="1"/>
      <c r="N5" s="17">
        <v>2.0</v>
      </c>
      <c r="O5" s="15" t="str">
        <f t="shared" si="4"/>
        <v>NKG</v>
      </c>
      <c r="P5" s="19">
        <v>0.0</v>
      </c>
      <c r="Q5" s="19">
        <v>2.0</v>
      </c>
      <c r="R5" s="22">
        <f t="shared" si="5"/>
        <v>2</v>
      </c>
      <c r="S5" s="16"/>
      <c r="T5" s="1"/>
      <c r="U5" s="17">
        <v>2.0</v>
      </c>
      <c r="V5" s="15" t="str">
        <f t="shared" si="6"/>
        <v>NKG</v>
      </c>
      <c r="W5" s="19">
        <v>5.0</v>
      </c>
      <c r="X5" s="19">
        <v>3.0</v>
      </c>
      <c r="Y5" s="14">
        <f t="shared" si="7"/>
        <v>8</v>
      </c>
      <c r="AB5" s="1"/>
      <c r="AC5" s="1"/>
      <c r="AD5" s="1"/>
    </row>
    <row r="6">
      <c r="A6" s="1"/>
      <c r="B6" s="17">
        <v>3.0</v>
      </c>
      <c r="C6" s="18" t="s">
        <v>250</v>
      </c>
      <c r="D6" s="19">
        <v>8.0</v>
      </c>
      <c r="E6" s="19">
        <v>7.0</v>
      </c>
      <c r="F6" s="22">
        <f t="shared" si="1"/>
        <v>15</v>
      </c>
      <c r="G6" s="1"/>
      <c r="H6" s="17">
        <v>3.0</v>
      </c>
      <c r="I6" s="21" t="str">
        <f t="shared" si="2"/>
        <v>SN</v>
      </c>
      <c r="J6" s="19">
        <v>1.0</v>
      </c>
      <c r="K6" s="19">
        <v>3.0</v>
      </c>
      <c r="L6" s="22">
        <f t="shared" si="3"/>
        <v>4</v>
      </c>
      <c r="M6" s="1"/>
      <c r="N6" s="17">
        <v>3.0</v>
      </c>
      <c r="O6" s="15" t="str">
        <f t="shared" si="4"/>
        <v>SN</v>
      </c>
      <c r="P6" s="19">
        <v>6.0</v>
      </c>
      <c r="Q6" s="19">
        <v>14.0</v>
      </c>
      <c r="R6" s="22">
        <f t="shared" si="5"/>
        <v>20</v>
      </c>
      <c r="S6" s="16"/>
      <c r="T6" s="1"/>
      <c r="U6" s="17">
        <v>3.0</v>
      </c>
      <c r="V6" s="15" t="str">
        <f t="shared" si="6"/>
        <v>SN</v>
      </c>
      <c r="W6" s="19">
        <v>7.0</v>
      </c>
      <c r="X6" s="19">
        <v>13.0</v>
      </c>
      <c r="Y6" s="14">
        <f t="shared" si="7"/>
        <v>20</v>
      </c>
      <c r="AB6" s="1"/>
      <c r="AC6" s="1"/>
      <c r="AD6" s="1"/>
    </row>
    <row r="7">
      <c r="A7" s="1"/>
      <c r="B7" s="17">
        <v>4.0</v>
      </c>
      <c r="C7" s="5" t="s">
        <v>251</v>
      </c>
      <c r="D7" s="19">
        <v>7.0</v>
      </c>
      <c r="E7" s="19">
        <v>10.0</v>
      </c>
      <c r="F7" s="22">
        <f t="shared" si="1"/>
        <v>17</v>
      </c>
      <c r="G7" s="1"/>
      <c r="H7" s="17">
        <v>4.0</v>
      </c>
      <c r="I7" s="21" t="str">
        <f t="shared" si="2"/>
        <v>RVT</v>
      </c>
      <c r="J7" s="19">
        <v>6.0</v>
      </c>
      <c r="K7" s="19">
        <v>11.0</v>
      </c>
      <c r="L7" s="22">
        <f t="shared" si="3"/>
        <v>17</v>
      </c>
      <c r="M7" s="1"/>
      <c r="N7" s="17">
        <v>4.0</v>
      </c>
      <c r="O7" s="15" t="str">
        <f t="shared" si="4"/>
        <v>RVT</v>
      </c>
      <c r="P7" s="19">
        <v>2.0</v>
      </c>
      <c r="Q7" s="19">
        <v>3.0</v>
      </c>
      <c r="R7" s="22">
        <f t="shared" si="5"/>
        <v>5</v>
      </c>
      <c r="S7" s="16"/>
      <c r="T7" s="1"/>
      <c r="U7" s="17">
        <v>4.0</v>
      </c>
      <c r="V7" s="15" t="str">
        <f t="shared" si="6"/>
        <v>RVT</v>
      </c>
      <c r="W7" s="19">
        <v>12.0</v>
      </c>
      <c r="X7" s="19">
        <v>25.0</v>
      </c>
      <c r="Y7" s="14">
        <f t="shared" si="7"/>
        <v>37</v>
      </c>
      <c r="AB7" s="1"/>
      <c r="AC7" s="1"/>
      <c r="AD7" s="23" t="s">
        <v>13</v>
      </c>
    </row>
    <row r="8">
      <c r="A8" s="1"/>
      <c r="B8" s="17">
        <v>5.0</v>
      </c>
      <c r="C8" s="18" t="s">
        <v>252</v>
      </c>
      <c r="D8" s="19">
        <v>6.0</v>
      </c>
      <c r="E8" s="145">
        <v>5.0</v>
      </c>
      <c r="F8" s="22">
        <f t="shared" si="1"/>
        <v>11</v>
      </c>
      <c r="G8" s="1"/>
      <c r="H8" s="17">
        <v>5.0</v>
      </c>
      <c r="I8" s="21" t="str">
        <f t="shared" si="2"/>
        <v>TZxDJ</v>
      </c>
      <c r="J8" s="19">
        <v>3.0</v>
      </c>
      <c r="K8" s="19">
        <v>7.0</v>
      </c>
      <c r="L8" s="22">
        <f t="shared" si="3"/>
        <v>10</v>
      </c>
      <c r="M8" s="1"/>
      <c r="N8" s="17">
        <v>5.0</v>
      </c>
      <c r="O8" s="15" t="str">
        <f t="shared" si="4"/>
        <v>TZxDJ</v>
      </c>
      <c r="P8" s="19">
        <v>5.0</v>
      </c>
      <c r="Q8" s="19">
        <v>16.0</v>
      </c>
      <c r="R8" s="22">
        <f t="shared" si="5"/>
        <v>21</v>
      </c>
      <c r="S8" s="16"/>
      <c r="T8" s="1"/>
      <c r="U8" s="17">
        <v>5.0</v>
      </c>
      <c r="V8" s="15" t="str">
        <f t="shared" si="6"/>
        <v>TZxDJ</v>
      </c>
      <c r="W8" s="19">
        <v>6.0</v>
      </c>
      <c r="X8" s="19">
        <v>14.0</v>
      </c>
      <c r="Y8" s="14">
        <f t="shared" si="7"/>
        <v>20</v>
      </c>
      <c r="AB8" s="1"/>
      <c r="AC8" s="1"/>
      <c r="AD8" s="1"/>
    </row>
    <row r="9">
      <c r="A9" s="1"/>
      <c r="B9" s="17">
        <v>6.0</v>
      </c>
      <c r="C9" s="18" t="s">
        <v>253</v>
      </c>
      <c r="D9" s="19">
        <v>5.0</v>
      </c>
      <c r="E9" s="19">
        <v>4.0</v>
      </c>
      <c r="F9" s="22">
        <f t="shared" si="1"/>
        <v>9</v>
      </c>
      <c r="G9" s="1"/>
      <c r="H9" s="17">
        <v>6.0</v>
      </c>
      <c r="I9" s="21" t="str">
        <f t="shared" si="2"/>
        <v>HimS</v>
      </c>
      <c r="J9" s="19">
        <v>7.0</v>
      </c>
      <c r="K9" s="19">
        <v>3.0</v>
      </c>
      <c r="L9" s="22">
        <f t="shared" si="3"/>
        <v>10</v>
      </c>
      <c r="M9" s="1"/>
      <c r="N9" s="17">
        <v>6.0</v>
      </c>
      <c r="O9" s="15" t="str">
        <f t="shared" si="4"/>
        <v>HimS</v>
      </c>
      <c r="P9" s="19">
        <v>3.0</v>
      </c>
      <c r="Q9" s="19">
        <v>8.0</v>
      </c>
      <c r="R9" s="22">
        <f t="shared" si="5"/>
        <v>11</v>
      </c>
      <c r="S9" s="16"/>
      <c r="T9" s="1"/>
      <c r="U9" s="17">
        <v>6.0</v>
      </c>
      <c r="V9" s="15" t="str">
        <f t="shared" si="6"/>
        <v>HimS</v>
      </c>
      <c r="W9" s="19">
        <v>8.0</v>
      </c>
      <c r="X9" s="19">
        <v>2.0</v>
      </c>
      <c r="Y9" s="14">
        <f t="shared" si="7"/>
        <v>10</v>
      </c>
      <c r="AB9" s="1"/>
      <c r="AC9" s="1"/>
      <c r="AD9" s="1"/>
    </row>
    <row r="10">
      <c r="A10" s="1"/>
      <c r="B10" s="17">
        <v>7.0</v>
      </c>
      <c r="C10" s="18" t="s">
        <v>254</v>
      </c>
      <c r="D10" s="19">
        <v>4.0</v>
      </c>
      <c r="E10" s="19">
        <v>7.0</v>
      </c>
      <c r="F10" s="22">
        <f t="shared" si="1"/>
        <v>11</v>
      </c>
      <c r="G10" s="1"/>
      <c r="H10" s="17">
        <v>7.0</v>
      </c>
      <c r="I10" s="21" t="str">
        <f t="shared" si="2"/>
        <v>UFX</v>
      </c>
      <c r="J10" s="19">
        <v>8.0</v>
      </c>
      <c r="K10" s="19">
        <v>16.0</v>
      </c>
      <c r="L10" s="22">
        <f t="shared" si="3"/>
        <v>24</v>
      </c>
      <c r="M10" s="1"/>
      <c r="N10" s="24">
        <v>7.0</v>
      </c>
      <c r="O10" s="15" t="str">
        <f t="shared" si="4"/>
        <v>UFX</v>
      </c>
      <c r="P10" s="19">
        <v>1.0</v>
      </c>
      <c r="Q10" s="19">
        <v>2.0</v>
      </c>
      <c r="R10" s="22">
        <f t="shared" si="5"/>
        <v>3</v>
      </c>
      <c r="S10" s="16"/>
      <c r="T10" s="1"/>
      <c r="U10" s="17">
        <v>7.0</v>
      </c>
      <c r="V10" s="15" t="str">
        <f t="shared" si="6"/>
        <v>UFX</v>
      </c>
      <c r="W10" s="19">
        <v>1.0</v>
      </c>
      <c r="X10" s="19">
        <v>1.0</v>
      </c>
      <c r="Y10" s="14">
        <f t="shared" si="7"/>
        <v>2</v>
      </c>
      <c r="AB10" s="1"/>
      <c r="AC10" s="1"/>
    </row>
    <row r="11">
      <c r="A11" s="1"/>
      <c r="B11" s="17">
        <v>8.0</v>
      </c>
      <c r="C11" s="18" t="s">
        <v>255</v>
      </c>
      <c r="D11" s="19">
        <v>3.0</v>
      </c>
      <c r="E11" s="12">
        <v>12.0</v>
      </c>
      <c r="F11" s="22">
        <f t="shared" si="1"/>
        <v>15</v>
      </c>
      <c r="G11" s="1"/>
      <c r="H11" s="17">
        <v>8.0</v>
      </c>
      <c r="I11" s="21" t="str">
        <f t="shared" si="2"/>
        <v>SvR</v>
      </c>
      <c r="J11" s="19">
        <v>0.0</v>
      </c>
      <c r="K11" s="19">
        <v>6.0</v>
      </c>
      <c r="L11" s="22">
        <f t="shared" si="3"/>
        <v>6</v>
      </c>
      <c r="M11" s="1"/>
      <c r="N11" s="25">
        <v>8.0</v>
      </c>
      <c r="O11" s="21" t="str">
        <f t="shared" si="4"/>
        <v>SvR</v>
      </c>
      <c r="P11" s="19">
        <v>12.0</v>
      </c>
      <c r="Q11" s="19">
        <v>13.0</v>
      </c>
      <c r="R11" s="22">
        <f t="shared" si="5"/>
        <v>25</v>
      </c>
      <c r="S11" s="16"/>
      <c r="T11" s="1"/>
      <c r="U11" s="17">
        <v>8.0</v>
      </c>
      <c r="V11" s="15" t="str">
        <f t="shared" si="6"/>
        <v>SvR</v>
      </c>
      <c r="W11" s="19">
        <v>9.0</v>
      </c>
      <c r="X11" s="19">
        <v>17.0</v>
      </c>
      <c r="Y11" s="14">
        <f t="shared" si="7"/>
        <v>26</v>
      </c>
      <c r="AB11" s="1"/>
      <c r="AC11" s="1"/>
      <c r="AD11" s="26" t="s">
        <v>18</v>
      </c>
    </row>
    <row r="12">
      <c r="A12" s="1"/>
      <c r="B12" s="17">
        <v>9.0</v>
      </c>
      <c r="C12" s="11" t="s">
        <v>256</v>
      </c>
      <c r="D12" s="19">
        <v>2.0</v>
      </c>
      <c r="E12" s="19">
        <v>5.0</v>
      </c>
      <c r="F12" s="22">
        <f t="shared" si="1"/>
        <v>7</v>
      </c>
      <c r="G12" s="1"/>
      <c r="H12" s="17">
        <v>9.0</v>
      </c>
      <c r="I12" s="21" t="str">
        <f t="shared" si="2"/>
        <v>OD¹⁸</v>
      </c>
      <c r="J12" s="19">
        <v>2.0</v>
      </c>
      <c r="K12" s="19">
        <v>0.0</v>
      </c>
      <c r="L12" s="22">
        <f t="shared" si="3"/>
        <v>2</v>
      </c>
      <c r="M12" s="1"/>
      <c r="N12" s="10">
        <v>9.0</v>
      </c>
      <c r="O12" s="15" t="str">
        <f t="shared" si="4"/>
        <v>OD¹⁸</v>
      </c>
      <c r="P12" s="19">
        <v>7.0</v>
      </c>
      <c r="Q12" s="19">
        <v>5.0</v>
      </c>
      <c r="R12" s="22">
        <f t="shared" si="5"/>
        <v>12</v>
      </c>
      <c r="S12" s="16"/>
      <c r="T12" s="1"/>
      <c r="U12" s="17">
        <v>9.0</v>
      </c>
      <c r="V12" s="15" t="str">
        <f t="shared" si="6"/>
        <v>OD¹⁸</v>
      </c>
      <c r="W12" s="19">
        <v>0.0</v>
      </c>
      <c r="X12" s="19">
        <v>0.0</v>
      </c>
      <c r="Y12" s="14">
        <f t="shared" si="7"/>
        <v>0</v>
      </c>
      <c r="AB12" s="1"/>
      <c r="AC12" s="1"/>
    </row>
    <row r="13">
      <c r="A13" s="1"/>
      <c r="B13" s="17">
        <v>10.0</v>
      </c>
      <c r="C13" s="18" t="s">
        <v>257</v>
      </c>
      <c r="D13" s="19">
        <v>1.0</v>
      </c>
      <c r="E13" s="19">
        <v>2.0</v>
      </c>
      <c r="F13" s="22">
        <f t="shared" si="1"/>
        <v>3</v>
      </c>
      <c r="G13" s="1"/>
      <c r="H13" s="17">
        <v>10.0</v>
      </c>
      <c r="I13" s="21" t="str">
        <f t="shared" si="2"/>
        <v>GN</v>
      </c>
      <c r="J13" s="19">
        <v>12.0</v>
      </c>
      <c r="K13" s="19">
        <v>23.0</v>
      </c>
      <c r="L13" s="22">
        <f t="shared" si="3"/>
        <v>35</v>
      </c>
      <c r="M13" s="1"/>
      <c r="N13" s="17">
        <v>10.0</v>
      </c>
      <c r="O13" s="15" t="str">
        <f t="shared" si="4"/>
        <v>GN</v>
      </c>
      <c r="P13" s="19">
        <v>8.0</v>
      </c>
      <c r="Q13" s="19">
        <v>20.0</v>
      </c>
      <c r="R13" s="22">
        <f t="shared" si="5"/>
        <v>28</v>
      </c>
      <c r="S13" s="16"/>
      <c r="T13" s="1"/>
      <c r="U13" s="17">
        <v>10.0</v>
      </c>
      <c r="V13" s="15" t="str">
        <f t="shared" si="6"/>
        <v>GN</v>
      </c>
      <c r="W13" s="19">
        <v>3.0</v>
      </c>
      <c r="X13" s="19">
        <v>8.0</v>
      </c>
      <c r="Y13" s="14">
        <f t="shared" si="7"/>
        <v>11</v>
      </c>
      <c r="AB13" s="1"/>
      <c r="AC13" s="1"/>
      <c r="AD13" s="1"/>
    </row>
    <row r="14">
      <c r="A14" s="1"/>
      <c r="B14" s="17">
        <v>11.0</v>
      </c>
      <c r="C14" s="18" t="s">
        <v>129</v>
      </c>
      <c r="D14" s="19">
        <v>0.0</v>
      </c>
      <c r="E14" s="19">
        <v>0.0</v>
      </c>
      <c r="F14" s="20">
        <f t="shared" si="1"/>
        <v>0</v>
      </c>
      <c r="G14" s="1"/>
      <c r="H14" s="17">
        <v>11.0</v>
      </c>
      <c r="I14" s="21" t="str">
        <f t="shared" si="2"/>
        <v>RNX</v>
      </c>
      <c r="J14" s="19">
        <v>5.0</v>
      </c>
      <c r="K14" s="19">
        <v>9.0</v>
      </c>
      <c r="L14" s="20">
        <f t="shared" si="3"/>
        <v>14</v>
      </c>
      <c r="M14" s="1"/>
      <c r="N14" s="17">
        <v>11.0</v>
      </c>
      <c r="O14" s="15" t="str">
        <f t="shared" si="4"/>
        <v>RNX</v>
      </c>
      <c r="P14" s="19">
        <v>9.0</v>
      </c>
      <c r="Q14" s="19">
        <v>3.0</v>
      </c>
      <c r="R14" s="22">
        <f t="shared" si="5"/>
        <v>12</v>
      </c>
      <c r="S14" s="16"/>
      <c r="T14" s="1"/>
      <c r="U14" s="17">
        <v>11.0</v>
      </c>
      <c r="V14" s="15" t="str">
        <f t="shared" si="6"/>
        <v>RNX</v>
      </c>
      <c r="W14" s="19">
        <v>4.0</v>
      </c>
      <c r="X14" s="19">
        <v>10.0</v>
      </c>
      <c r="Y14" s="14">
        <f t="shared" si="7"/>
        <v>14</v>
      </c>
      <c r="AB14" s="1"/>
      <c r="AC14" s="1"/>
      <c r="AD14" s="1"/>
    </row>
    <row r="15">
      <c r="A15" s="1"/>
      <c r="B15" s="27">
        <v>12.0</v>
      </c>
      <c r="C15" s="28"/>
      <c r="D15" s="29">
        <v>0.0</v>
      </c>
      <c r="E15" s="29">
        <v>0.0</v>
      </c>
      <c r="F15" s="30">
        <f>C45+E15</f>
        <v>0</v>
      </c>
      <c r="G15" s="1"/>
      <c r="H15" s="27">
        <v>12.0</v>
      </c>
      <c r="I15" s="31" t="str">
        <f t="shared" si="2"/>
        <v/>
      </c>
      <c r="J15" s="29">
        <v>0.0</v>
      </c>
      <c r="K15" s="29">
        <v>0.0</v>
      </c>
      <c r="L15" s="30">
        <f>E45+K15</f>
        <v>0</v>
      </c>
      <c r="M15" s="1"/>
      <c r="N15" s="27">
        <v>12.0</v>
      </c>
      <c r="O15" s="32" t="str">
        <f t="shared" si="4"/>
        <v/>
      </c>
      <c r="P15" s="29">
        <v>0.0</v>
      </c>
      <c r="Q15" s="29">
        <v>0.0</v>
      </c>
      <c r="R15" s="22">
        <f t="shared" si="5"/>
        <v>0</v>
      </c>
      <c r="S15" s="16"/>
      <c r="T15" s="1"/>
      <c r="U15" s="24">
        <v>12.0</v>
      </c>
      <c r="V15" s="33" t="str">
        <f t="shared" si="6"/>
        <v/>
      </c>
      <c r="W15" s="34">
        <v>0.0</v>
      </c>
      <c r="X15" s="34">
        <v>0.0</v>
      </c>
      <c r="Y15" s="14">
        <f t="shared" si="7"/>
        <v>0</v>
      </c>
      <c r="AB15" s="1"/>
      <c r="AC15" s="1"/>
      <c r="AD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35"/>
      <c r="V16" s="36"/>
      <c r="W16" s="36"/>
      <c r="X16" s="36"/>
      <c r="Y16" s="36"/>
      <c r="Z16" s="36"/>
      <c r="AA16" s="36"/>
      <c r="AB16" s="36"/>
      <c r="AC16" s="37"/>
      <c r="AD16" s="1"/>
    </row>
    <row r="17">
      <c r="A17" s="1"/>
      <c r="B17" s="2" t="s">
        <v>23</v>
      </c>
      <c r="C17" s="3"/>
      <c r="D17" s="3"/>
      <c r="E17" s="3"/>
      <c r="F17" s="4"/>
      <c r="G17" s="1"/>
      <c r="H17" s="2" t="s">
        <v>24</v>
      </c>
      <c r="I17" s="3"/>
      <c r="J17" s="3"/>
      <c r="K17" s="3"/>
      <c r="L17" s="4"/>
      <c r="M17" s="1"/>
      <c r="N17" s="38" t="s">
        <v>25</v>
      </c>
      <c r="O17" s="3"/>
      <c r="P17" s="3"/>
      <c r="Q17" s="3"/>
      <c r="R17" s="3"/>
      <c r="S17" s="3"/>
      <c r="T17" s="4"/>
      <c r="U17" s="39"/>
      <c r="V17" s="40" t="s">
        <v>258</v>
      </c>
      <c r="W17" s="41"/>
      <c r="X17" s="41"/>
      <c r="Y17" s="41"/>
      <c r="Z17" s="41"/>
      <c r="AA17" s="41"/>
      <c r="AB17" s="42"/>
      <c r="AC17" s="43"/>
      <c r="AD17" s="44"/>
    </row>
    <row r="18">
      <c r="A18" s="1"/>
      <c r="B18" s="6" t="s">
        <v>4</v>
      </c>
      <c r="C18" s="8" t="s">
        <v>5</v>
      </c>
      <c r="D18" s="6" t="s">
        <v>6</v>
      </c>
      <c r="E18" s="6" t="s">
        <v>7</v>
      </c>
      <c r="F18" s="6" t="s">
        <v>8</v>
      </c>
      <c r="G18" s="1"/>
      <c r="H18" s="6" t="s">
        <v>4</v>
      </c>
      <c r="I18" s="8" t="s">
        <v>5</v>
      </c>
      <c r="J18" s="6" t="s">
        <v>6</v>
      </c>
      <c r="K18" s="6" t="s">
        <v>7</v>
      </c>
      <c r="L18" s="6" t="s">
        <v>8</v>
      </c>
      <c r="M18" s="1"/>
      <c r="N18" s="6" t="s">
        <v>4</v>
      </c>
      <c r="O18" s="11" t="s">
        <v>27</v>
      </c>
      <c r="P18" s="45" t="s">
        <v>28</v>
      </c>
      <c r="Q18" s="45" t="s">
        <v>29</v>
      </c>
      <c r="R18" s="45" t="s">
        <v>30</v>
      </c>
      <c r="S18" s="45" t="s">
        <v>31</v>
      </c>
      <c r="T18" s="46" t="s">
        <v>32</v>
      </c>
      <c r="U18" s="47"/>
      <c r="V18" s="48" t="s">
        <v>4</v>
      </c>
      <c r="W18" s="48" t="s">
        <v>27</v>
      </c>
      <c r="X18" s="48" t="s">
        <v>28</v>
      </c>
      <c r="Y18" s="48" t="s">
        <v>29</v>
      </c>
      <c r="Z18" s="48" t="s">
        <v>30</v>
      </c>
      <c r="AA18" s="48" t="s">
        <v>31</v>
      </c>
      <c r="AB18" s="48" t="s">
        <v>32</v>
      </c>
      <c r="AC18" s="49"/>
      <c r="AD18" s="5"/>
    </row>
    <row r="19">
      <c r="A19" s="1"/>
      <c r="B19" s="10">
        <f t="array" ref="B19:B30">SEQUENCE(12,1)</f>
        <v>1</v>
      </c>
      <c r="C19" s="15" t="str">
        <f t="shared" ref="C19:C30" si="8">C4</f>
        <v>HsL</v>
      </c>
      <c r="D19" s="12"/>
      <c r="E19" s="12"/>
      <c r="F19" s="50">
        <f t="shared" ref="F19:F30" si="9">D19+E19</f>
        <v>0</v>
      </c>
      <c r="G19" s="1"/>
      <c r="H19" s="10">
        <f t="array" ref="H19:H30">SEQUENCE(12,1)</f>
        <v>1</v>
      </c>
      <c r="I19" s="15" t="str">
        <f t="shared" ref="I19:I30" si="10">C4</f>
        <v>HsL</v>
      </c>
      <c r="J19" s="12"/>
      <c r="K19" s="12"/>
      <c r="L19" s="14">
        <f t="shared" ref="L19:L30" si="11">J19+K19</f>
        <v>0</v>
      </c>
      <c r="M19" s="1"/>
      <c r="N19" s="147">
        <v>1.0</v>
      </c>
      <c r="O19" s="19" t="s">
        <v>259</v>
      </c>
      <c r="P19" s="12">
        <f t="shared" ref="P19:P30" si="12">C46+E46+G46+I46+K46+M46</f>
        <v>1</v>
      </c>
      <c r="Q19" s="52">
        <f t="shared" ref="Q19:Q30" si="13">COUNT(D4,J4,P4,W4,D19,J19)</f>
        <v>4</v>
      </c>
      <c r="R19" s="53">
        <f t="shared" ref="R19:R30" si="14">P4+J4+D4+W4+D19+J19</f>
        <v>22</v>
      </c>
      <c r="S19" s="53">
        <f t="shared" ref="S19:S25" si="15">E4+K4+Q4+X4+E19+K19</f>
        <v>43</v>
      </c>
      <c r="T19" s="54">
        <f t="shared" ref="T19:T30" si="16">R19+S19</f>
        <v>65</v>
      </c>
      <c r="U19" s="47"/>
      <c r="V19" s="55">
        <f t="array" ref="V19:V30">SEQUENCE(12,1)</f>
        <v>1</v>
      </c>
      <c r="W19" s="56" t="str">
        <f t="array" ref="W19:AB30">SORT(O19:T30,6,FALSE,2,FALSE,5,FALSE,4,FALSE)</f>
        <v>HIMS GAMING </v>
      </c>
      <c r="X19" s="56">
        <v>1.0</v>
      </c>
      <c r="Y19" s="56">
        <v>4.0</v>
      </c>
      <c r="Z19" s="57">
        <v>24.0</v>
      </c>
      <c r="AA19" s="57">
        <v>53.0</v>
      </c>
      <c r="AB19" s="58">
        <v>77.0</v>
      </c>
      <c r="AC19" s="49"/>
      <c r="AD19" s="16"/>
    </row>
    <row r="20">
      <c r="A20" s="1"/>
      <c r="B20" s="17">
        <v>2.0</v>
      </c>
      <c r="C20" s="15" t="str">
        <f t="shared" si="8"/>
        <v>NKG</v>
      </c>
      <c r="D20" s="19"/>
      <c r="E20" s="19"/>
      <c r="F20" s="50">
        <f t="shared" si="9"/>
        <v>0</v>
      </c>
      <c r="G20" s="1"/>
      <c r="H20" s="17">
        <v>2.0</v>
      </c>
      <c r="I20" s="15" t="str">
        <f t="shared" si="10"/>
        <v>NKG</v>
      </c>
      <c r="J20" s="19"/>
      <c r="K20" s="19"/>
      <c r="L20" s="14">
        <f t="shared" si="11"/>
        <v>0</v>
      </c>
      <c r="M20" s="1"/>
      <c r="N20" s="148">
        <v>2.0</v>
      </c>
      <c r="O20" s="19" t="s">
        <v>226</v>
      </c>
      <c r="P20" s="12">
        <f t="shared" si="12"/>
        <v>0</v>
      </c>
      <c r="Q20" s="52">
        <f t="shared" si="13"/>
        <v>4</v>
      </c>
      <c r="R20" s="53">
        <f t="shared" si="14"/>
        <v>23</v>
      </c>
      <c r="S20" s="53">
        <f t="shared" si="15"/>
        <v>18</v>
      </c>
      <c r="T20" s="54">
        <f t="shared" si="16"/>
        <v>41</v>
      </c>
      <c r="U20" s="47"/>
      <c r="V20" s="60">
        <v>2.0</v>
      </c>
      <c r="W20" s="61" t="s">
        <v>260</v>
      </c>
      <c r="X20" s="61">
        <v>1.0</v>
      </c>
      <c r="Y20" s="61">
        <v>4.0</v>
      </c>
      <c r="Z20" s="62">
        <v>27.0</v>
      </c>
      <c r="AA20" s="62">
        <v>49.0</v>
      </c>
      <c r="AB20" s="63">
        <v>76.0</v>
      </c>
      <c r="AC20" s="49"/>
      <c r="AD20" s="16"/>
    </row>
    <row r="21">
      <c r="A21" s="1"/>
      <c r="B21" s="17">
        <v>3.0</v>
      </c>
      <c r="C21" s="15" t="str">
        <f t="shared" si="8"/>
        <v>SN</v>
      </c>
      <c r="D21" s="19"/>
      <c r="E21" s="19"/>
      <c r="F21" s="50">
        <f t="shared" si="9"/>
        <v>0</v>
      </c>
      <c r="G21" s="1"/>
      <c r="H21" s="17">
        <v>3.0</v>
      </c>
      <c r="I21" s="15" t="str">
        <f t="shared" si="10"/>
        <v>SN</v>
      </c>
      <c r="J21" s="19"/>
      <c r="K21" s="19"/>
      <c r="L21" s="14">
        <f t="shared" si="11"/>
        <v>0</v>
      </c>
      <c r="M21" s="1"/>
      <c r="N21" s="148">
        <v>3.0</v>
      </c>
      <c r="O21" s="19" t="s">
        <v>261</v>
      </c>
      <c r="P21" s="12">
        <f t="shared" si="12"/>
        <v>0</v>
      </c>
      <c r="Q21" s="52">
        <f t="shared" si="13"/>
        <v>4</v>
      </c>
      <c r="R21" s="53">
        <f t="shared" si="14"/>
        <v>22</v>
      </c>
      <c r="S21" s="53">
        <f t="shared" si="15"/>
        <v>37</v>
      </c>
      <c r="T21" s="54">
        <f t="shared" si="16"/>
        <v>59</v>
      </c>
      <c r="U21" s="47"/>
      <c r="V21" s="64">
        <v>3.0</v>
      </c>
      <c r="W21" s="65" t="s">
        <v>262</v>
      </c>
      <c r="X21" s="66">
        <v>1.0</v>
      </c>
      <c r="Y21" s="66">
        <v>4.0</v>
      </c>
      <c r="Z21" s="67">
        <v>24.0</v>
      </c>
      <c r="AA21" s="67">
        <v>48.0</v>
      </c>
      <c r="AB21" s="68">
        <v>72.0</v>
      </c>
      <c r="AC21" s="49"/>
      <c r="AD21" s="16"/>
    </row>
    <row r="22">
      <c r="A22" s="1"/>
      <c r="B22" s="17">
        <v>4.0</v>
      </c>
      <c r="C22" s="15" t="str">
        <f t="shared" si="8"/>
        <v>RVT</v>
      </c>
      <c r="D22" s="19"/>
      <c r="E22" s="19"/>
      <c r="F22" s="50">
        <f t="shared" si="9"/>
        <v>0</v>
      </c>
      <c r="G22" s="1"/>
      <c r="H22" s="17">
        <v>4.0</v>
      </c>
      <c r="I22" s="15" t="str">
        <f t="shared" si="10"/>
        <v>RVT</v>
      </c>
      <c r="J22" s="19"/>
      <c r="K22" s="19"/>
      <c r="L22" s="14">
        <f t="shared" si="11"/>
        <v>0</v>
      </c>
      <c r="M22" s="1"/>
      <c r="N22" s="148">
        <v>4.0</v>
      </c>
      <c r="O22" s="19" t="s">
        <v>260</v>
      </c>
      <c r="P22" s="12">
        <f t="shared" si="12"/>
        <v>1</v>
      </c>
      <c r="Q22" s="52">
        <f t="shared" si="13"/>
        <v>4</v>
      </c>
      <c r="R22" s="53">
        <f t="shared" si="14"/>
        <v>27</v>
      </c>
      <c r="S22" s="53">
        <f t="shared" si="15"/>
        <v>49</v>
      </c>
      <c r="T22" s="54">
        <f t="shared" si="16"/>
        <v>76</v>
      </c>
      <c r="U22" s="47"/>
      <c r="V22" s="69">
        <v>4.0</v>
      </c>
      <c r="W22" s="70" t="s">
        <v>259</v>
      </c>
      <c r="X22" s="71">
        <v>1.0</v>
      </c>
      <c r="Y22" s="71">
        <v>4.0</v>
      </c>
      <c r="Z22" s="72">
        <v>22.0</v>
      </c>
      <c r="AA22" s="72">
        <v>43.0</v>
      </c>
      <c r="AB22" s="73">
        <v>65.0</v>
      </c>
      <c r="AC22" s="49"/>
      <c r="AD22" s="16"/>
    </row>
    <row r="23">
      <c r="A23" s="1"/>
      <c r="B23" s="17">
        <v>5.0</v>
      </c>
      <c r="C23" s="15" t="str">
        <f t="shared" si="8"/>
        <v>TZxDJ</v>
      </c>
      <c r="D23" s="19"/>
      <c r="E23" s="19"/>
      <c r="F23" s="50">
        <f t="shared" si="9"/>
        <v>0</v>
      </c>
      <c r="G23" s="1"/>
      <c r="H23" s="17">
        <v>5.0</v>
      </c>
      <c r="I23" s="15" t="str">
        <f t="shared" si="10"/>
        <v>TZxDJ</v>
      </c>
      <c r="J23" s="19"/>
      <c r="K23" s="19"/>
      <c r="L23" s="14">
        <f t="shared" si="11"/>
        <v>0</v>
      </c>
      <c r="M23" s="1"/>
      <c r="N23" s="148">
        <v>5.0</v>
      </c>
      <c r="O23" s="19" t="s">
        <v>263</v>
      </c>
      <c r="P23" s="12">
        <f t="shared" si="12"/>
        <v>0</v>
      </c>
      <c r="Q23" s="52">
        <f t="shared" si="13"/>
        <v>4</v>
      </c>
      <c r="R23" s="53">
        <f t="shared" si="14"/>
        <v>20</v>
      </c>
      <c r="S23" s="53">
        <f t="shared" si="15"/>
        <v>42</v>
      </c>
      <c r="T23" s="54">
        <f t="shared" si="16"/>
        <v>62</v>
      </c>
      <c r="U23" s="47"/>
      <c r="V23" s="74">
        <v>5.0</v>
      </c>
      <c r="W23" s="75" t="s">
        <v>263</v>
      </c>
      <c r="X23" s="76">
        <v>0.0</v>
      </c>
      <c r="Y23" s="76">
        <v>4.0</v>
      </c>
      <c r="Z23" s="77">
        <v>20.0</v>
      </c>
      <c r="AA23" s="77">
        <v>42.0</v>
      </c>
      <c r="AB23" s="78">
        <v>62.0</v>
      </c>
      <c r="AC23" s="49"/>
      <c r="AD23" s="16"/>
    </row>
    <row r="24">
      <c r="A24" s="1"/>
      <c r="B24" s="17">
        <v>6.0</v>
      </c>
      <c r="C24" s="15" t="str">
        <f t="shared" si="8"/>
        <v>HimS</v>
      </c>
      <c r="D24" s="19"/>
      <c r="E24" s="19"/>
      <c r="F24" s="50">
        <f t="shared" si="9"/>
        <v>0</v>
      </c>
      <c r="G24" s="1"/>
      <c r="H24" s="17">
        <v>6.0</v>
      </c>
      <c r="I24" s="15" t="str">
        <f t="shared" si="10"/>
        <v>HimS</v>
      </c>
      <c r="J24" s="19"/>
      <c r="K24" s="19"/>
      <c r="L24" s="14">
        <f t="shared" si="11"/>
        <v>0</v>
      </c>
      <c r="M24" s="1"/>
      <c r="N24" s="148">
        <v>6.0</v>
      </c>
      <c r="O24" s="19" t="s">
        <v>264</v>
      </c>
      <c r="P24" s="12">
        <f t="shared" si="12"/>
        <v>0</v>
      </c>
      <c r="Q24" s="52">
        <f t="shared" si="13"/>
        <v>4</v>
      </c>
      <c r="R24" s="53">
        <f t="shared" si="14"/>
        <v>23</v>
      </c>
      <c r="S24" s="53">
        <f t="shared" si="15"/>
        <v>17</v>
      </c>
      <c r="T24" s="54">
        <f t="shared" si="16"/>
        <v>40</v>
      </c>
      <c r="U24" s="47"/>
      <c r="V24" s="74">
        <v>6.0</v>
      </c>
      <c r="W24" s="75" t="s">
        <v>261</v>
      </c>
      <c r="X24" s="76">
        <v>0.0</v>
      </c>
      <c r="Y24" s="76">
        <v>4.0</v>
      </c>
      <c r="Z24" s="77">
        <v>22.0</v>
      </c>
      <c r="AA24" s="77">
        <v>37.0</v>
      </c>
      <c r="AB24" s="78">
        <v>59.0</v>
      </c>
      <c r="AC24" s="49"/>
      <c r="AD24" s="16"/>
    </row>
    <row r="25">
      <c r="A25" s="1"/>
      <c r="B25" s="17">
        <v>7.0</v>
      </c>
      <c r="C25" s="15" t="str">
        <f t="shared" si="8"/>
        <v>UFX</v>
      </c>
      <c r="D25" s="19"/>
      <c r="E25" s="19"/>
      <c r="F25" s="50">
        <f t="shared" si="9"/>
        <v>0</v>
      </c>
      <c r="G25" s="1"/>
      <c r="H25" s="17">
        <v>7.0</v>
      </c>
      <c r="I25" s="15" t="str">
        <f t="shared" si="10"/>
        <v>UFX</v>
      </c>
      <c r="J25" s="19"/>
      <c r="K25" s="19"/>
      <c r="L25" s="14">
        <f t="shared" si="11"/>
        <v>0</v>
      </c>
      <c r="M25" s="1"/>
      <c r="N25" s="148">
        <v>7.0</v>
      </c>
      <c r="O25" s="19" t="s">
        <v>265</v>
      </c>
      <c r="P25" s="12">
        <f t="shared" si="12"/>
        <v>0</v>
      </c>
      <c r="Q25" s="52">
        <f t="shared" si="13"/>
        <v>4</v>
      </c>
      <c r="R25" s="53">
        <f t="shared" si="14"/>
        <v>14</v>
      </c>
      <c r="S25" s="53">
        <f t="shared" si="15"/>
        <v>26</v>
      </c>
      <c r="T25" s="54">
        <f t="shared" si="16"/>
        <v>40</v>
      </c>
      <c r="U25" s="47"/>
      <c r="V25" s="79">
        <v>7.0</v>
      </c>
      <c r="W25" s="80" t="s">
        <v>226</v>
      </c>
      <c r="X25" s="81">
        <v>0.0</v>
      </c>
      <c r="Y25" s="81">
        <v>4.0</v>
      </c>
      <c r="Z25" s="82">
        <v>23.0</v>
      </c>
      <c r="AA25" s="82">
        <v>18.0</v>
      </c>
      <c r="AB25" s="83">
        <v>41.0</v>
      </c>
      <c r="AC25" s="49"/>
      <c r="AD25" s="16"/>
    </row>
    <row r="26">
      <c r="A26" s="1"/>
      <c r="B26" s="17">
        <v>8.0</v>
      </c>
      <c r="C26" s="15" t="str">
        <f t="shared" si="8"/>
        <v>SvR</v>
      </c>
      <c r="D26" s="19"/>
      <c r="E26" s="19"/>
      <c r="F26" s="50">
        <f t="shared" si="9"/>
        <v>0</v>
      </c>
      <c r="G26" s="1"/>
      <c r="H26" s="17">
        <v>8.0</v>
      </c>
      <c r="I26" s="15" t="str">
        <f t="shared" si="10"/>
        <v>SvR</v>
      </c>
      <c r="J26" s="19"/>
      <c r="K26" s="19"/>
      <c r="L26" s="14">
        <f t="shared" si="11"/>
        <v>0</v>
      </c>
      <c r="M26" s="1"/>
      <c r="N26" s="148">
        <v>8.0</v>
      </c>
      <c r="O26" s="149" t="s">
        <v>262</v>
      </c>
      <c r="P26" s="12">
        <f t="shared" si="12"/>
        <v>1</v>
      </c>
      <c r="Q26" s="52">
        <f t="shared" si="13"/>
        <v>4</v>
      </c>
      <c r="R26" s="53">
        <f t="shared" si="14"/>
        <v>24</v>
      </c>
      <c r="S26" s="53">
        <f>K11+Q11+X11+E26+K26+E11</f>
        <v>48</v>
      </c>
      <c r="T26" s="54">
        <f t="shared" si="16"/>
        <v>72</v>
      </c>
      <c r="U26" s="47"/>
      <c r="V26" s="85">
        <v>8.0</v>
      </c>
      <c r="W26" s="86" t="s">
        <v>265</v>
      </c>
      <c r="X26" s="87">
        <v>0.0</v>
      </c>
      <c r="Y26" s="87">
        <v>4.0</v>
      </c>
      <c r="Z26" s="88">
        <v>14.0</v>
      </c>
      <c r="AA26" s="88">
        <v>26.0</v>
      </c>
      <c r="AB26" s="89">
        <v>40.0</v>
      </c>
      <c r="AC26" s="49"/>
    </row>
    <row r="27">
      <c r="A27" s="1"/>
      <c r="B27" s="17">
        <v>9.0</v>
      </c>
      <c r="C27" s="15" t="str">
        <f t="shared" si="8"/>
        <v>OD¹⁸</v>
      </c>
      <c r="D27" s="19"/>
      <c r="E27" s="19"/>
      <c r="F27" s="50">
        <f t="shared" si="9"/>
        <v>0</v>
      </c>
      <c r="G27" s="1"/>
      <c r="H27" s="17">
        <v>9.0</v>
      </c>
      <c r="I27" s="11" t="str">
        <f t="shared" si="10"/>
        <v>OD¹⁸</v>
      </c>
      <c r="J27" s="19"/>
      <c r="K27" s="19"/>
      <c r="L27" s="14">
        <f t="shared" si="11"/>
        <v>0</v>
      </c>
      <c r="M27" s="1"/>
      <c r="N27" s="148">
        <v>9.0</v>
      </c>
      <c r="O27" s="19" t="s">
        <v>266</v>
      </c>
      <c r="P27" s="12">
        <f t="shared" si="12"/>
        <v>0</v>
      </c>
      <c r="Q27" s="52">
        <f t="shared" si="13"/>
        <v>4</v>
      </c>
      <c r="R27" s="53">
        <f t="shared" si="14"/>
        <v>11</v>
      </c>
      <c r="S27" s="53">
        <f t="shared" ref="S27:S30" si="17">E12+K12+Q12+X12+E27+K27</f>
        <v>10</v>
      </c>
      <c r="T27" s="54">
        <f t="shared" si="16"/>
        <v>21</v>
      </c>
      <c r="U27" s="47"/>
      <c r="V27" s="90">
        <v>9.0</v>
      </c>
      <c r="W27" s="91" t="s">
        <v>267</v>
      </c>
      <c r="X27" s="92">
        <v>0.0</v>
      </c>
      <c r="Y27" s="92">
        <v>4.0</v>
      </c>
      <c r="Z27" s="93">
        <v>18.0</v>
      </c>
      <c r="AA27" s="93">
        <v>22.0</v>
      </c>
      <c r="AB27" s="94">
        <v>40.0</v>
      </c>
      <c r="AC27" s="49"/>
    </row>
    <row r="28">
      <c r="A28" s="1"/>
      <c r="B28" s="17">
        <v>10.0</v>
      </c>
      <c r="C28" s="15" t="str">
        <f t="shared" si="8"/>
        <v>GN</v>
      </c>
      <c r="D28" s="19"/>
      <c r="E28" s="19"/>
      <c r="F28" s="50">
        <f t="shared" si="9"/>
        <v>0</v>
      </c>
      <c r="G28" s="1"/>
      <c r="H28" s="17">
        <v>10.0</v>
      </c>
      <c r="I28" s="15" t="str">
        <f t="shared" si="10"/>
        <v>GN</v>
      </c>
      <c r="J28" s="19"/>
      <c r="K28" s="19"/>
      <c r="L28" s="14">
        <f t="shared" si="11"/>
        <v>0</v>
      </c>
      <c r="M28" s="1"/>
      <c r="N28" s="148">
        <v>10.0</v>
      </c>
      <c r="O28" s="19" t="s">
        <v>268</v>
      </c>
      <c r="P28" s="12">
        <f t="shared" si="12"/>
        <v>1</v>
      </c>
      <c r="Q28" s="52">
        <f t="shared" si="13"/>
        <v>4</v>
      </c>
      <c r="R28" s="53">
        <f t="shared" si="14"/>
        <v>24</v>
      </c>
      <c r="S28" s="53">
        <f t="shared" si="17"/>
        <v>53</v>
      </c>
      <c r="T28" s="54">
        <f t="shared" si="16"/>
        <v>77</v>
      </c>
      <c r="U28" s="47"/>
      <c r="V28" s="90">
        <v>10.0</v>
      </c>
      <c r="W28" s="91" t="s">
        <v>264</v>
      </c>
      <c r="X28" s="92">
        <v>0.0</v>
      </c>
      <c r="Y28" s="92">
        <v>4.0</v>
      </c>
      <c r="Z28" s="93">
        <v>23.0</v>
      </c>
      <c r="AA28" s="93">
        <v>17.0</v>
      </c>
      <c r="AB28" s="94">
        <v>40.0</v>
      </c>
      <c r="AC28" s="49"/>
    </row>
    <row r="29">
      <c r="A29" s="1"/>
      <c r="B29" s="17">
        <v>11.0</v>
      </c>
      <c r="C29" s="15" t="str">
        <f t="shared" si="8"/>
        <v>RNX</v>
      </c>
      <c r="D29" s="19"/>
      <c r="E29" s="19"/>
      <c r="F29" s="50">
        <f t="shared" si="9"/>
        <v>0</v>
      </c>
      <c r="G29" s="1"/>
      <c r="H29" s="17">
        <v>11.0</v>
      </c>
      <c r="I29" s="15" t="str">
        <f t="shared" si="10"/>
        <v>RNX</v>
      </c>
      <c r="J29" s="19"/>
      <c r="K29" s="19"/>
      <c r="L29" s="14">
        <f t="shared" si="11"/>
        <v>0</v>
      </c>
      <c r="M29" s="1"/>
      <c r="N29" s="148">
        <v>11.0</v>
      </c>
      <c r="O29" s="150" t="s">
        <v>267</v>
      </c>
      <c r="P29" s="12">
        <f t="shared" si="12"/>
        <v>0</v>
      </c>
      <c r="Q29" s="52">
        <f t="shared" si="13"/>
        <v>4</v>
      </c>
      <c r="R29" s="53">
        <f t="shared" si="14"/>
        <v>18</v>
      </c>
      <c r="S29" s="53">
        <f t="shared" si="17"/>
        <v>22</v>
      </c>
      <c r="T29" s="54">
        <f t="shared" si="16"/>
        <v>40</v>
      </c>
      <c r="U29" s="47"/>
      <c r="V29" s="90">
        <v>11.0</v>
      </c>
      <c r="W29" s="91" t="s">
        <v>266</v>
      </c>
      <c r="X29" s="92">
        <v>0.0</v>
      </c>
      <c r="Y29" s="92">
        <v>4.0</v>
      </c>
      <c r="Z29" s="93">
        <v>11.0</v>
      </c>
      <c r="AA29" s="93">
        <v>10.0</v>
      </c>
      <c r="AB29" s="94">
        <v>21.0</v>
      </c>
      <c r="AC29" s="49"/>
      <c r="AD29" s="16"/>
    </row>
    <row r="30">
      <c r="A30" s="1"/>
      <c r="B30" s="27">
        <v>12.0</v>
      </c>
      <c r="C30" s="96" t="str">
        <f t="shared" si="8"/>
        <v/>
      </c>
      <c r="D30" s="29"/>
      <c r="E30" s="29"/>
      <c r="F30" s="50">
        <f t="shared" si="9"/>
        <v>0</v>
      </c>
      <c r="G30" s="1"/>
      <c r="H30" s="27">
        <v>12.0</v>
      </c>
      <c r="I30" s="32" t="str">
        <f t="shared" si="10"/>
        <v/>
      </c>
      <c r="J30" s="29"/>
      <c r="K30" s="29"/>
      <c r="L30" s="14">
        <f t="shared" si="11"/>
        <v>0</v>
      </c>
      <c r="M30" s="1"/>
      <c r="N30" s="153">
        <v>12.0</v>
      </c>
      <c r="O30" s="145" t="s">
        <v>269</v>
      </c>
      <c r="P30" s="12">
        <f t="shared" si="12"/>
        <v>0</v>
      </c>
      <c r="Q30" s="52">
        <f t="shared" si="13"/>
        <v>4</v>
      </c>
      <c r="R30" s="53">
        <f t="shared" si="14"/>
        <v>0</v>
      </c>
      <c r="S30" s="53">
        <f t="shared" si="17"/>
        <v>0</v>
      </c>
      <c r="T30" s="99">
        <f t="shared" si="16"/>
        <v>0</v>
      </c>
      <c r="U30" s="47"/>
      <c r="V30" s="100">
        <v>12.0</v>
      </c>
      <c r="W30" s="101" t="s">
        <v>269</v>
      </c>
      <c r="X30" s="102">
        <v>0.0</v>
      </c>
      <c r="Y30" s="102">
        <v>4.0</v>
      </c>
      <c r="Z30" s="103">
        <v>0.0</v>
      </c>
      <c r="AA30" s="103">
        <v>0.0</v>
      </c>
      <c r="AB30" s="104">
        <v>0.0</v>
      </c>
      <c r="AC30" s="105"/>
      <c r="AD30" s="16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06"/>
      <c r="V31" s="107"/>
      <c r="W31" s="108"/>
      <c r="X31" s="108"/>
      <c r="Y31" s="108"/>
      <c r="Z31" s="108"/>
      <c r="AA31" s="108"/>
      <c r="AB31" s="108"/>
      <c r="AC31" s="105"/>
      <c r="AD31" s="1"/>
    </row>
    <row r="32">
      <c r="A32" s="1"/>
      <c r="B32" s="5"/>
      <c r="C32" s="5"/>
      <c r="D32" s="5"/>
      <c r="E32" s="5"/>
      <c r="F32" s="16"/>
      <c r="G32" s="1"/>
      <c r="H32" s="109"/>
      <c r="I32" s="109"/>
      <c r="J32" s="109"/>
      <c r="K32" s="109"/>
      <c r="L32" s="109"/>
      <c r="M32" s="1"/>
      <c r="N32" s="1"/>
      <c r="O32" s="1"/>
      <c r="P32" s="9"/>
      <c r="Q32" s="9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1"/>
      <c r="B33" s="9"/>
      <c r="C33" s="9" t="s">
        <v>45</v>
      </c>
      <c r="D33" s="9"/>
      <c r="E33" s="9"/>
      <c r="F33" s="9"/>
      <c r="G33" s="110"/>
      <c r="H33" s="9"/>
      <c r="I33" s="9"/>
      <c r="J33" s="9"/>
      <c r="K33" s="9"/>
      <c r="L33" s="9"/>
      <c r="M33" s="110"/>
      <c r="N33" s="1"/>
      <c r="O33" s="1"/>
      <c r="P33" s="9"/>
      <c r="Q33" s="9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1"/>
      <c r="B34" s="9" t="s">
        <v>0</v>
      </c>
      <c r="C34" s="9">
        <f t="shared" ref="C34:C45" si="18">IFS(D4=0,0,D4=1,12,D4=2,9,D4=3,8,D4=4,7,D4=5,6,D4=6,5,D4=7,4,D4=8,3,D4=9,2,D4=10,1,D4=11,0,D4=12,0,D4=0,0)</f>
        <v>0</v>
      </c>
      <c r="D34" s="9" t="s">
        <v>1</v>
      </c>
      <c r="E34" s="9">
        <f t="shared" ref="E34:E45" si="19">IFS(J4=0,0,J4=1,12,J4=2,9,J4=3,8,J4=4,7,J4=5,6,J4=6,5,J4=7,4,J4=8,3,J4=9,2,J4=10,1,J4=11,0,J4=12,0,J4=0,0)</f>
        <v>7</v>
      </c>
      <c r="F34" s="9" t="s">
        <v>2</v>
      </c>
      <c r="G34" s="110">
        <f t="shared" ref="G34:G45" si="20">IFS(P4=0,0,P4=1,12,P4=2,9,P4=3,8,P4=4,7,P4=5,6,P4=6,5,P4=7,4,P4=8,3,P4=9,2,P4=10,1,P4=11,0,P4=12,0,P4=0,0)</f>
        <v>7</v>
      </c>
      <c r="H34" s="9" t="s">
        <v>3</v>
      </c>
      <c r="I34" s="110">
        <f t="shared" ref="I34:I45" si="21">IFS(W4=0,0,W4=1,12,W4=2,9,W4=3,8,W4=4,7,W4=5,6,W4=6,5,W4=7,4,W4=8,3,W4=9,2,W4=10,1,W4=11,0,W4=12,0,W4=0,0)</f>
        <v>9</v>
      </c>
      <c r="J34" s="9" t="s">
        <v>23</v>
      </c>
      <c r="K34" s="110">
        <f t="shared" ref="K34:K45" si="22">IFS(D19=0,0,D19=1,12,D19=2,9,D19=3,8,D19=4,7,D19=5,6,D19=6,5,D19=7,4,D19=8,3,D19=9,2,D19=10,1,D19=11,0,D19=12,0,D19=0,0)</f>
        <v>0</v>
      </c>
      <c r="L34" s="9" t="s">
        <v>24</v>
      </c>
      <c r="M34" s="110">
        <f t="shared" ref="M34:M45" si="23">IFS(J19=0,0,J19=1,12,J19=2,9,J19=3,8,J19=4,7,J19=5,6,J19=6,5,J19=7,4,J19=8,3,J19=9,2,J19=10,1,J19=11,0,J19=12,0,J19=0,0)</f>
        <v>0</v>
      </c>
      <c r="N34" s="1"/>
      <c r="O34" s="1"/>
      <c r="P34" s="9"/>
      <c r="Q34" s="9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1"/>
      <c r="B35" s="110"/>
      <c r="C35" s="9">
        <f t="shared" si="18"/>
        <v>2</v>
      </c>
      <c r="D35" s="9"/>
      <c r="E35" s="9">
        <f t="shared" si="19"/>
        <v>2</v>
      </c>
      <c r="F35" s="110"/>
      <c r="G35" s="110">
        <f t="shared" si="20"/>
        <v>0</v>
      </c>
      <c r="H35" s="110"/>
      <c r="I35" s="110">
        <f t="shared" si="21"/>
        <v>6</v>
      </c>
      <c r="J35" s="110"/>
      <c r="K35" s="110">
        <f t="shared" si="22"/>
        <v>0</v>
      </c>
      <c r="L35" s="110"/>
      <c r="M35" s="110">
        <f t="shared" si="23"/>
        <v>0</v>
      </c>
      <c r="N35" s="1"/>
      <c r="O35" s="1"/>
      <c r="P35" s="9"/>
      <c r="Q35" s="9"/>
      <c r="R35" s="1"/>
      <c r="S35" s="1"/>
      <c r="T35" s="1"/>
      <c r="U35" s="1"/>
      <c r="V35" s="5"/>
      <c r="W35" s="5"/>
      <c r="X35" s="1"/>
      <c r="Y35" s="1"/>
      <c r="Z35" s="1"/>
      <c r="AA35" s="1"/>
      <c r="AB35" s="1"/>
      <c r="AC35" s="1"/>
      <c r="AD35" s="1"/>
    </row>
    <row r="36">
      <c r="A36" s="1"/>
      <c r="B36" s="110"/>
      <c r="C36" s="9">
        <f t="shared" si="18"/>
        <v>3</v>
      </c>
      <c r="D36" s="9"/>
      <c r="E36" s="9">
        <f t="shared" si="19"/>
        <v>12</v>
      </c>
      <c r="F36" s="110"/>
      <c r="G36" s="110">
        <f t="shared" si="20"/>
        <v>5</v>
      </c>
      <c r="H36" s="110"/>
      <c r="I36" s="110">
        <f t="shared" si="21"/>
        <v>4</v>
      </c>
      <c r="J36" s="110"/>
      <c r="K36" s="110">
        <f t="shared" si="22"/>
        <v>0</v>
      </c>
      <c r="L36" s="110"/>
      <c r="M36" s="110">
        <f t="shared" si="23"/>
        <v>0</v>
      </c>
      <c r="N36" s="1"/>
      <c r="O36" s="1"/>
      <c r="P36" s="9"/>
      <c r="Q36" s="9"/>
      <c r="R36" s="1"/>
      <c r="S36" s="1"/>
      <c r="T36" s="1"/>
      <c r="U36" s="1"/>
      <c r="V36" s="5"/>
      <c r="W36" s="5"/>
      <c r="X36" s="1"/>
      <c r="Y36" s="1"/>
      <c r="Z36" s="1"/>
      <c r="AA36" s="1"/>
      <c r="AB36" s="1"/>
      <c r="AC36" s="1"/>
      <c r="AD36" s="1"/>
    </row>
    <row r="37">
      <c r="A37" s="1"/>
      <c r="B37" s="110"/>
      <c r="C37" s="9">
        <f t="shared" si="18"/>
        <v>4</v>
      </c>
      <c r="D37" s="9"/>
      <c r="E37" s="9">
        <f t="shared" si="19"/>
        <v>5</v>
      </c>
      <c r="F37" s="110"/>
      <c r="G37" s="110">
        <f t="shared" si="20"/>
        <v>9</v>
      </c>
      <c r="H37" s="110"/>
      <c r="I37" s="110">
        <f t="shared" si="21"/>
        <v>0</v>
      </c>
      <c r="J37" s="110"/>
      <c r="K37" s="110">
        <f t="shared" si="22"/>
        <v>0</v>
      </c>
      <c r="L37" s="110"/>
      <c r="M37" s="110">
        <f t="shared" si="23"/>
        <v>0</v>
      </c>
      <c r="N37" s="1"/>
      <c r="O37" s="1"/>
      <c r="P37" s="9"/>
      <c r="Q37" s="9"/>
      <c r="R37" s="1"/>
      <c r="S37" s="1"/>
      <c r="T37" s="1"/>
      <c r="U37" s="1"/>
      <c r="V37" s="5"/>
      <c r="W37" s="5"/>
      <c r="X37" s="1"/>
      <c r="Y37" s="1"/>
      <c r="Z37" s="1"/>
      <c r="AA37" s="1"/>
      <c r="AB37" s="1"/>
      <c r="AC37" s="1"/>
      <c r="AD37" s="1"/>
    </row>
    <row r="38">
      <c r="A38" s="1"/>
      <c r="B38" s="110"/>
      <c r="C38" s="9">
        <f t="shared" si="18"/>
        <v>5</v>
      </c>
      <c r="D38" s="9"/>
      <c r="E38" s="9">
        <f t="shared" si="19"/>
        <v>8</v>
      </c>
      <c r="F38" s="110"/>
      <c r="G38" s="110">
        <f t="shared" si="20"/>
        <v>6</v>
      </c>
      <c r="H38" s="110"/>
      <c r="I38" s="110">
        <f t="shared" si="21"/>
        <v>5</v>
      </c>
      <c r="J38" s="110"/>
      <c r="K38" s="110">
        <f t="shared" si="22"/>
        <v>0</v>
      </c>
      <c r="L38" s="110"/>
      <c r="M38" s="110">
        <f t="shared" si="23"/>
        <v>0</v>
      </c>
      <c r="N38" s="1"/>
      <c r="O38" s="1"/>
      <c r="P38" s="9"/>
      <c r="Q38" s="9"/>
      <c r="R38" s="1"/>
      <c r="S38" s="1"/>
      <c r="T38" s="1"/>
      <c r="U38" s="1"/>
      <c r="V38" s="5"/>
      <c r="W38" s="13"/>
      <c r="X38" s="1"/>
      <c r="Y38" s="1"/>
      <c r="Z38" s="1"/>
      <c r="AA38" s="1"/>
      <c r="AB38" s="1"/>
      <c r="AC38" s="1"/>
      <c r="AD38" s="1"/>
    </row>
    <row r="39">
      <c r="A39" s="1"/>
      <c r="B39" s="110"/>
      <c r="C39" s="9">
        <f t="shared" si="18"/>
        <v>6</v>
      </c>
      <c r="D39" s="9"/>
      <c r="E39" s="9">
        <f t="shared" si="19"/>
        <v>4</v>
      </c>
      <c r="F39" s="110"/>
      <c r="G39" s="110">
        <f t="shared" si="20"/>
        <v>8</v>
      </c>
      <c r="H39" s="110"/>
      <c r="I39" s="110">
        <f t="shared" si="21"/>
        <v>3</v>
      </c>
      <c r="J39" s="110"/>
      <c r="K39" s="110">
        <f t="shared" si="22"/>
        <v>0</v>
      </c>
      <c r="L39" s="110"/>
      <c r="M39" s="110">
        <f t="shared" si="23"/>
        <v>0</v>
      </c>
      <c r="N39" s="1"/>
      <c r="O39" s="1"/>
      <c r="P39" s="9"/>
      <c r="Q39" s="9"/>
      <c r="R39" s="1"/>
      <c r="S39" s="1"/>
      <c r="T39" s="1"/>
      <c r="U39" s="1"/>
      <c r="V39" s="16"/>
      <c r="W39" s="5"/>
      <c r="X39" s="5"/>
      <c r="Y39" s="1"/>
      <c r="Z39" s="1"/>
      <c r="AA39" s="1"/>
      <c r="AB39" s="1"/>
      <c r="AC39" s="1"/>
      <c r="AD39" s="1"/>
    </row>
    <row r="40">
      <c r="A40" s="1"/>
      <c r="B40" s="110"/>
      <c r="C40" s="9">
        <f t="shared" si="18"/>
        <v>7</v>
      </c>
      <c r="D40" s="9"/>
      <c r="E40" s="9">
        <f t="shared" si="19"/>
        <v>3</v>
      </c>
      <c r="F40" s="110"/>
      <c r="G40" s="110">
        <f t="shared" si="20"/>
        <v>12</v>
      </c>
      <c r="H40" s="110"/>
      <c r="I40" s="110">
        <f t="shared" si="21"/>
        <v>12</v>
      </c>
      <c r="J40" s="110"/>
      <c r="K40" s="110">
        <f t="shared" si="22"/>
        <v>0</v>
      </c>
      <c r="L40" s="110"/>
      <c r="M40" s="110">
        <f t="shared" si="23"/>
        <v>0</v>
      </c>
      <c r="N40" s="1"/>
      <c r="O40" s="1"/>
      <c r="P40" s="9"/>
      <c r="Q40" s="9"/>
      <c r="R40" s="1"/>
      <c r="S40" s="1"/>
      <c r="T40" s="1"/>
      <c r="U40" s="1"/>
      <c r="V40" s="16"/>
      <c r="W40" s="5"/>
      <c r="X40" s="5"/>
      <c r="Y40" s="1"/>
      <c r="Z40" s="1"/>
      <c r="AA40" s="1"/>
      <c r="AB40" s="1"/>
      <c r="AC40" s="1"/>
      <c r="AD40" s="1"/>
    </row>
    <row r="41">
      <c r="A41" s="1"/>
      <c r="B41" s="110"/>
      <c r="C41" s="9">
        <f t="shared" si="18"/>
        <v>8</v>
      </c>
      <c r="D41" s="9"/>
      <c r="E41" s="9">
        <f t="shared" si="19"/>
        <v>0</v>
      </c>
      <c r="F41" s="110"/>
      <c r="G41" s="110">
        <f t="shared" si="20"/>
        <v>0</v>
      </c>
      <c r="H41" s="110"/>
      <c r="I41" s="110">
        <f t="shared" si="21"/>
        <v>2</v>
      </c>
      <c r="J41" s="110"/>
      <c r="K41" s="110">
        <f t="shared" si="22"/>
        <v>0</v>
      </c>
      <c r="L41" s="110"/>
      <c r="M41" s="110">
        <f t="shared" si="23"/>
        <v>0</v>
      </c>
      <c r="N41" s="1"/>
      <c r="O41" s="1"/>
      <c r="P41" s="9"/>
      <c r="Q41" s="9"/>
      <c r="R41" s="1"/>
      <c r="S41" s="1"/>
      <c r="T41" s="1"/>
      <c r="U41" s="1"/>
      <c r="V41" s="16"/>
      <c r="W41" s="5"/>
      <c r="X41" s="5"/>
      <c r="Y41" s="1"/>
      <c r="Z41" s="1"/>
      <c r="AA41" s="1"/>
      <c r="AB41" s="1"/>
      <c r="AC41" s="1"/>
      <c r="AD41" s="1"/>
    </row>
    <row r="42">
      <c r="A42" s="1"/>
      <c r="B42" s="110"/>
      <c r="C42" s="9">
        <f t="shared" si="18"/>
        <v>9</v>
      </c>
      <c r="D42" s="9"/>
      <c r="E42" s="9">
        <f t="shared" si="19"/>
        <v>9</v>
      </c>
      <c r="F42" s="110"/>
      <c r="G42" s="110">
        <f t="shared" si="20"/>
        <v>4</v>
      </c>
      <c r="H42" s="110"/>
      <c r="I42" s="110">
        <f t="shared" si="21"/>
        <v>0</v>
      </c>
      <c r="J42" s="110"/>
      <c r="K42" s="110">
        <f t="shared" si="22"/>
        <v>0</v>
      </c>
      <c r="L42" s="110"/>
      <c r="M42" s="110">
        <f t="shared" si="23"/>
        <v>0</v>
      </c>
      <c r="N42" s="1"/>
      <c r="O42" s="1"/>
      <c r="P42" s="9"/>
      <c r="Q42" s="9"/>
      <c r="R42" s="1"/>
      <c r="S42" s="1"/>
      <c r="T42" s="1"/>
      <c r="U42" s="1"/>
      <c r="V42" s="16"/>
      <c r="W42" s="13"/>
      <c r="X42" s="5"/>
      <c r="Y42" s="1"/>
      <c r="Z42" s="1"/>
      <c r="AA42" s="1"/>
      <c r="AB42" s="1"/>
      <c r="AC42" s="1"/>
      <c r="AD42" s="1"/>
    </row>
    <row r="43">
      <c r="A43" s="1"/>
      <c r="B43" s="110"/>
      <c r="C43" s="9">
        <f t="shared" si="18"/>
        <v>12</v>
      </c>
      <c r="D43" s="9"/>
      <c r="E43" s="9">
        <f t="shared" si="19"/>
        <v>0</v>
      </c>
      <c r="F43" s="110"/>
      <c r="G43" s="110">
        <f t="shared" si="20"/>
        <v>3</v>
      </c>
      <c r="H43" s="110"/>
      <c r="I43" s="110">
        <f t="shared" si="21"/>
        <v>8</v>
      </c>
      <c r="J43" s="110"/>
      <c r="K43" s="110">
        <f t="shared" si="22"/>
        <v>0</v>
      </c>
      <c r="L43" s="110"/>
      <c r="M43" s="110">
        <f t="shared" si="23"/>
        <v>0</v>
      </c>
      <c r="N43" s="1"/>
      <c r="O43" s="1"/>
      <c r="P43" s="9"/>
      <c r="Q43" s="9"/>
      <c r="R43" s="1"/>
      <c r="S43" s="1"/>
      <c r="T43" s="1"/>
      <c r="U43" s="1"/>
      <c r="V43" s="16"/>
      <c r="W43" s="5"/>
      <c r="X43" s="5"/>
      <c r="Y43" s="1"/>
      <c r="Z43" s="1"/>
      <c r="AA43" s="1"/>
      <c r="AB43" s="1"/>
      <c r="AC43" s="1"/>
      <c r="AD43" s="1"/>
    </row>
    <row r="44">
      <c r="A44" s="1"/>
      <c r="B44" s="110"/>
      <c r="C44" s="110">
        <f t="shared" si="18"/>
        <v>0</v>
      </c>
      <c r="D44" s="110"/>
      <c r="E44" s="110">
        <f t="shared" si="19"/>
        <v>6</v>
      </c>
      <c r="F44" s="110"/>
      <c r="G44" s="110">
        <f t="shared" si="20"/>
        <v>2</v>
      </c>
      <c r="H44" s="110"/>
      <c r="I44" s="110">
        <f t="shared" si="21"/>
        <v>7</v>
      </c>
      <c r="J44" s="110"/>
      <c r="K44" s="110">
        <f t="shared" si="22"/>
        <v>0</v>
      </c>
      <c r="L44" s="110"/>
      <c r="M44" s="110">
        <f t="shared" si="23"/>
        <v>0</v>
      </c>
      <c r="N44" s="1"/>
      <c r="O44" s="1"/>
      <c r="P44" s="1"/>
      <c r="Q44" s="1"/>
      <c r="R44" s="1"/>
      <c r="S44" s="1"/>
      <c r="T44" s="1"/>
      <c r="U44" s="1"/>
      <c r="V44" s="16"/>
      <c r="W44" s="5"/>
      <c r="X44" s="5"/>
      <c r="Y44" s="1"/>
      <c r="Z44" s="1"/>
      <c r="AA44" s="1"/>
      <c r="AB44" s="1"/>
      <c r="AC44" s="1"/>
      <c r="AD44" s="1"/>
    </row>
    <row r="45">
      <c r="A45" s="1"/>
      <c r="B45" s="110"/>
      <c r="C45" s="110">
        <f t="shared" si="18"/>
        <v>0</v>
      </c>
      <c r="D45" s="110"/>
      <c r="E45" s="110">
        <f t="shared" si="19"/>
        <v>0</v>
      </c>
      <c r="F45" s="110"/>
      <c r="G45" s="110">
        <f t="shared" si="20"/>
        <v>0</v>
      </c>
      <c r="H45" s="110"/>
      <c r="I45" s="110">
        <f t="shared" si="21"/>
        <v>0</v>
      </c>
      <c r="J45" s="110"/>
      <c r="K45" s="110">
        <f t="shared" si="22"/>
        <v>0</v>
      </c>
      <c r="L45" s="110"/>
      <c r="M45" s="110">
        <f t="shared" si="23"/>
        <v>0</v>
      </c>
      <c r="N45" s="1"/>
      <c r="O45" s="1"/>
      <c r="P45" s="1"/>
      <c r="Q45" s="1"/>
      <c r="R45" s="1"/>
      <c r="S45" s="1"/>
      <c r="T45" s="1"/>
      <c r="U45" s="1"/>
      <c r="V45" s="16"/>
      <c r="W45" s="5"/>
      <c r="X45" s="5"/>
      <c r="Y45" s="1"/>
      <c r="Z45" s="1"/>
      <c r="AA45" s="1"/>
      <c r="AB45" s="1"/>
      <c r="AC45" s="1"/>
      <c r="AD45" s="1"/>
    </row>
    <row r="46">
      <c r="A46" s="1"/>
      <c r="B46" s="9" t="s">
        <v>28</v>
      </c>
      <c r="C46" s="110">
        <f t="shared" ref="C46:C57" si="24">COUNTIF(D4,"=12")</f>
        <v>1</v>
      </c>
      <c r="D46" s="110"/>
      <c r="E46" s="110">
        <f t="shared" ref="E46:E57" si="25">COUNTIF(J4,"=12")</f>
        <v>0</v>
      </c>
      <c r="F46" s="110"/>
      <c r="G46" s="110">
        <f t="shared" ref="G46:G58" si="26">COUNTIF(P4,"=12")</f>
        <v>0</v>
      </c>
      <c r="H46" s="110"/>
      <c r="I46" s="110">
        <f t="shared" ref="I46:I57" si="27">COUNTIF(W4,"=12")</f>
        <v>0</v>
      </c>
      <c r="J46" s="110"/>
      <c r="K46" s="110">
        <f t="shared" ref="K46:K57" si="28">COUNTIF(D19,"=12")</f>
        <v>0</v>
      </c>
      <c r="L46" s="110"/>
      <c r="M46" s="110">
        <f t="shared" ref="M46:M57" si="29">COUNTIF(J19,"=12")</f>
        <v>0</v>
      </c>
      <c r="N46" s="1"/>
      <c r="O46" s="1"/>
      <c r="P46" s="1"/>
      <c r="Q46" s="1"/>
      <c r="R46" s="1"/>
      <c r="S46" s="1"/>
      <c r="T46" s="1"/>
      <c r="U46" s="1"/>
      <c r="V46" s="16"/>
      <c r="W46" s="5"/>
      <c r="X46" s="154"/>
      <c r="Y46" s="1"/>
      <c r="Z46" s="1"/>
      <c r="AA46" s="1"/>
      <c r="AB46" s="1"/>
      <c r="AC46" s="1"/>
      <c r="AD46" s="1"/>
    </row>
    <row r="47">
      <c r="A47" s="1"/>
      <c r="B47" s="110"/>
      <c r="C47" s="110">
        <f t="shared" si="24"/>
        <v>0</v>
      </c>
      <c r="D47" s="110"/>
      <c r="E47" s="110">
        <f t="shared" si="25"/>
        <v>0</v>
      </c>
      <c r="F47" s="110"/>
      <c r="G47" s="110">
        <f t="shared" si="26"/>
        <v>0</v>
      </c>
      <c r="H47" s="110"/>
      <c r="I47" s="110">
        <f t="shared" si="27"/>
        <v>0</v>
      </c>
      <c r="J47" s="110"/>
      <c r="K47" s="110">
        <f t="shared" si="28"/>
        <v>0</v>
      </c>
      <c r="L47" s="110"/>
      <c r="M47" s="110">
        <f t="shared" si="29"/>
        <v>0</v>
      </c>
      <c r="N47" s="1"/>
      <c r="O47" s="1"/>
      <c r="P47" s="1"/>
      <c r="Q47" s="1"/>
      <c r="R47" s="1"/>
      <c r="S47" s="1"/>
      <c r="T47" s="1"/>
      <c r="U47" s="1"/>
      <c r="V47" s="16"/>
      <c r="W47" s="5"/>
      <c r="X47" s="5"/>
      <c r="Y47" s="1"/>
      <c r="Z47" s="1"/>
      <c r="AA47" s="1"/>
      <c r="AB47" s="1"/>
      <c r="AC47" s="1"/>
      <c r="AD47" s="1"/>
    </row>
    <row r="48">
      <c r="A48" s="1"/>
      <c r="B48" s="110"/>
      <c r="C48" s="110">
        <f t="shared" si="24"/>
        <v>0</v>
      </c>
      <c r="D48" s="110"/>
      <c r="E48" s="110">
        <f t="shared" si="25"/>
        <v>0</v>
      </c>
      <c r="F48" s="110"/>
      <c r="G48" s="110">
        <f t="shared" si="26"/>
        <v>0</v>
      </c>
      <c r="H48" s="110"/>
      <c r="I48" s="110">
        <f t="shared" si="27"/>
        <v>0</v>
      </c>
      <c r="J48" s="110"/>
      <c r="K48" s="110">
        <f t="shared" si="28"/>
        <v>0</v>
      </c>
      <c r="L48" s="110"/>
      <c r="M48" s="110">
        <f t="shared" si="29"/>
        <v>0</v>
      </c>
      <c r="N48" s="1"/>
      <c r="O48" s="1"/>
      <c r="P48" s="1"/>
      <c r="Q48" s="1"/>
      <c r="R48" s="1"/>
      <c r="S48" s="1"/>
      <c r="T48" s="1"/>
      <c r="U48" s="1"/>
      <c r="V48" s="16"/>
      <c r="W48" s="5"/>
      <c r="X48" s="5"/>
      <c r="Y48" s="1"/>
      <c r="Z48" s="1"/>
      <c r="AA48" s="1"/>
      <c r="AB48" s="1"/>
      <c r="AC48" s="1"/>
      <c r="AD48" s="1"/>
    </row>
    <row r="49">
      <c r="A49" s="1"/>
      <c r="B49" s="110"/>
      <c r="C49" s="110">
        <f t="shared" si="24"/>
        <v>0</v>
      </c>
      <c r="D49" s="110"/>
      <c r="E49" s="110">
        <f t="shared" si="25"/>
        <v>0</v>
      </c>
      <c r="F49" s="110"/>
      <c r="G49" s="110">
        <f t="shared" si="26"/>
        <v>0</v>
      </c>
      <c r="H49" s="110"/>
      <c r="I49" s="110">
        <f t="shared" si="27"/>
        <v>1</v>
      </c>
      <c r="J49" s="110"/>
      <c r="K49" s="110">
        <f t="shared" si="28"/>
        <v>0</v>
      </c>
      <c r="L49" s="110"/>
      <c r="M49" s="110">
        <f t="shared" si="29"/>
        <v>0</v>
      </c>
      <c r="N49" s="1"/>
      <c r="O49" s="1"/>
      <c r="P49" s="1"/>
      <c r="Q49" s="1"/>
      <c r="R49" s="1"/>
      <c r="S49" s="1"/>
      <c r="T49" s="1"/>
      <c r="U49" s="1"/>
      <c r="V49" s="16"/>
      <c r="W49" s="5"/>
      <c r="X49" s="95"/>
      <c r="Y49" s="1"/>
      <c r="Z49" s="1"/>
      <c r="AA49" s="1"/>
      <c r="AB49" s="1"/>
      <c r="AC49" s="1"/>
      <c r="AD49" s="1"/>
    </row>
    <row r="50">
      <c r="A50" s="1"/>
      <c r="B50" s="110"/>
      <c r="C50" s="110">
        <f t="shared" si="24"/>
        <v>0</v>
      </c>
      <c r="D50" s="110"/>
      <c r="E50" s="110">
        <f t="shared" si="25"/>
        <v>0</v>
      </c>
      <c r="F50" s="110"/>
      <c r="G50" s="110">
        <f t="shared" si="26"/>
        <v>0</v>
      </c>
      <c r="H50" s="110"/>
      <c r="I50" s="110">
        <f t="shared" si="27"/>
        <v>0</v>
      </c>
      <c r="J50" s="110"/>
      <c r="K50" s="110">
        <f t="shared" si="28"/>
        <v>0</v>
      </c>
      <c r="L50" s="110"/>
      <c r="M50" s="110">
        <f t="shared" si="29"/>
        <v>0</v>
      </c>
      <c r="N50" s="1"/>
      <c r="O50" s="1"/>
      <c r="P50" s="1"/>
      <c r="Q50" s="1"/>
      <c r="R50" s="1"/>
      <c r="S50" s="1"/>
      <c r="T50" s="1"/>
      <c r="U50" s="1"/>
      <c r="V50" s="16"/>
      <c r="W50" s="5"/>
      <c r="X50" s="13"/>
      <c r="Y50" s="1"/>
      <c r="Z50" s="1"/>
      <c r="AA50" s="1"/>
      <c r="AB50" s="1"/>
      <c r="AC50" s="1"/>
      <c r="AD50" s="1"/>
    </row>
    <row r="51">
      <c r="A51" s="1"/>
      <c r="B51" s="110"/>
      <c r="C51" s="110">
        <f t="shared" si="24"/>
        <v>0</v>
      </c>
      <c r="D51" s="110"/>
      <c r="E51" s="110">
        <f t="shared" si="25"/>
        <v>0</v>
      </c>
      <c r="F51" s="110"/>
      <c r="G51" s="110">
        <f t="shared" si="26"/>
        <v>0</v>
      </c>
      <c r="H51" s="110"/>
      <c r="I51" s="110">
        <f t="shared" si="27"/>
        <v>0</v>
      </c>
      <c r="J51" s="110"/>
      <c r="K51" s="110">
        <f t="shared" si="28"/>
        <v>0</v>
      </c>
      <c r="L51" s="110"/>
      <c r="M51" s="110">
        <f t="shared" si="29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110"/>
      <c r="C52" s="110">
        <f t="shared" si="24"/>
        <v>0</v>
      </c>
      <c r="D52" s="110"/>
      <c r="E52" s="110">
        <f t="shared" si="25"/>
        <v>0</v>
      </c>
      <c r="F52" s="110"/>
      <c r="G52" s="110">
        <f t="shared" si="26"/>
        <v>0</v>
      </c>
      <c r="H52" s="110"/>
      <c r="I52" s="110">
        <f t="shared" si="27"/>
        <v>0</v>
      </c>
      <c r="J52" s="110"/>
      <c r="K52" s="110">
        <f t="shared" si="28"/>
        <v>0</v>
      </c>
      <c r="L52" s="110"/>
      <c r="M52" s="110">
        <f t="shared" si="29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110"/>
      <c r="C53" s="110">
        <f t="shared" si="24"/>
        <v>0</v>
      </c>
      <c r="D53" s="110"/>
      <c r="E53" s="110">
        <f t="shared" si="25"/>
        <v>0</v>
      </c>
      <c r="F53" s="110"/>
      <c r="G53" s="110">
        <f t="shared" si="26"/>
        <v>1</v>
      </c>
      <c r="H53" s="110"/>
      <c r="I53" s="110">
        <f t="shared" si="27"/>
        <v>0</v>
      </c>
      <c r="J53" s="110"/>
      <c r="K53" s="110">
        <f t="shared" si="28"/>
        <v>0</v>
      </c>
      <c r="L53" s="110"/>
      <c r="M53" s="110">
        <f t="shared" si="29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/>
      <c r="B54" s="110"/>
      <c r="C54" s="110">
        <f t="shared" si="24"/>
        <v>0</v>
      </c>
      <c r="D54" s="110"/>
      <c r="E54" s="110">
        <f t="shared" si="25"/>
        <v>0</v>
      </c>
      <c r="F54" s="110"/>
      <c r="G54" s="110">
        <f t="shared" si="26"/>
        <v>0</v>
      </c>
      <c r="H54" s="110"/>
      <c r="I54" s="110">
        <f t="shared" si="27"/>
        <v>0</v>
      </c>
      <c r="J54" s="110"/>
      <c r="K54" s="110">
        <f t="shared" si="28"/>
        <v>0</v>
      </c>
      <c r="L54" s="110"/>
      <c r="M54" s="110">
        <f t="shared" si="29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"/>
      <c r="B55" s="110"/>
      <c r="C55" s="110">
        <f t="shared" si="24"/>
        <v>0</v>
      </c>
      <c r="D55" s="110"/>
      <c r="E55" s="110">
        <f t="shared" si="25"/>
        <v>1</v>
      </c>
      <c r="F55" s="110"/>
      <c r="G55" s="110">
        <f t="shared" si="26"/>
        <v>0</v>
      </c>
      <c r="H55" s="110"/>
      <c r="I55" s="110">
        <f t="shared" si="27"/>
        <v>0</v>
      </c>
      <c r="J55" s="110"/>
      <c r="K55" s="110">
        <f t="shared" si="28"/>
        <v>0</v>
      </c>
      <c r="L55" s="110"/>
      <c r="M55" s="110">
        <f t="shared" si="29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/>
      <c r="B56" s="110"/>
      <c r="C56" s="110">
        <f t="shared" si="24"/>
        <v>0</v>
      </c>
      <c r="D56" s="110"/>
      <c r="E56" s="110">
        <f t="shared" si="25"/>
        <v>0</v>
      </c>
      <c r="F56" s="110"/>
      <c r="G56" s="110">
        <f t="shared" si="26"/>
        <v>0</v>
      </c>
      <c r="H56" s="110"/>
      <c r="I56" s="110">
        <f t="shared" si="27"/>
        <v>0</v>
      </c>
      <c r="J56" s="110"/>
      <c r="K56" s="110">
        <f t="shared" si="28"/>
        <v>0</v>
      </c>
      <c r="L56" s="110"/>
      <c r="M56" s="110">
        <f t="shared" si="29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110"/>
      <c r="C57" s="110">
        <f t="shared" si="24"/>
        <v>0</v>
      </c>
      <c r="D57" s="110"/>
      <c r="E57" s="110">
        <f t="shared" si="25"/>
        <v>0</v>
      </c>
      <c r="F57" s="110"/>
      <c r="G57" s="110">
        <f t="shared" si="26"/>
        <v>0</v>
      </c>
      <c r="H57" s="110"/>
      <c r="I57" s="110">
        <f t="shared" si="27"/>
        <v>0</v>
      </c>
      <c r="J57" s="110"/>
      <c r="K57" s="110">
        <f t="shared" si="28"/>
        <v>0</v>
      </c>
      <c r="L57" s="110"/>
      <c r="M57" s="110">
        <f t="shared" si="29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/>
      <c r="B58" s="1"/>
      <c r="C58" s="1"/>
      <c r="D58" s="1"/>
      <c r="E58" s="1"/>
      <c r="F58" s="1"/>
      <c r="G58" s="1">
        <f t="shared" si="26"/>
        <v>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</sheetData>
  <autoFilter ref="$C$3:$F$15">
    <sortState ref="C3:F15">
      <sortCondition descending="1" ref="D3:D15"/>
    </sortState>
  </autoFilter>
  <mergeCells count="12">
    <mergeCell ref="N17:T17"/>
    <mergeCell ref="U17:U31"/>
    <mergeCell ref="AC17:AC30"/>
    <mergeCell ref="V31:AC31"/>
    <mergeCell ref="B2:F2"/>
    <mergeCell ref="H2:L2"/>
    <mergeCell ref="N2:R2"/>
    <mergeCell ref="U2:Y2"/>
    <mergeCell ref="U16:AC16"/>
    <mergeCell ref="B17:F17"/>
    <mergeCell ref="H17:L17"/>
    <mergeCell ref="V17:AB17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3.25"/>
    <col customWidth="1" min="3" max="3" width="10.88"/>
    <col customWidth="1" min="4" max="4" width="6.38"/>
    <col customWidth="1" min="5" max="5" width="5.88"/>
    <col customWidth="1" min="6" max="6" width="6.13"/>
    <col customWidth="1" min="7" max="7" width="7.63"/>
    <col customWidth="1" min="8" max="8" width="3.25"/>
    <col customWidth="1" min="9" max="9" width="10.0"/>
    <col customWidth="1" min="10" max="10" width="6.88"/>
    <col customWidth="1" min="11" max="11" width="5.88"/>
    <col customWidth="1" min="12" max="12" width="6.0"/>
    <col customWidth="1" min="13" max="13" width="5.88"/>
    <col customWidth="1" min="14" max="14" width="3.75"/>
    <col customWidth="1" min="15" max="15" width="13.25"/>
    <col customWidth="1" min="16" max="16" width="6.88"/>
    <col customWidth="1" min="17" max="17" width="7.5"/>
    <col customWidth="1" min="18" max="18" width="5.63"/>
    <col customWidth="1" min="19" max="19" width="6.63"/>
    <col customWidth="1" min="20" max="20" width="5.25"/>
    <col customWidth="1" min="21" max="21" width="3.25"/>
    <col customWidth="1" min="22" max="22" width="10.5"/>
    <col customWidth="1" min="23" max="23" width="11.75"/>
    <col customWidth="1" min="24" max="25" width="6.88"/>
    <col customWidth="1" min="26" max="26" width="5.75"/>
    <col customWidth="1" min="27" max="27" width="5.88"/>
    <col customWidth="1" min="28" max="28" width="5.75"/>
    <col customWidth="1" min="29" max="29" width="4.25"/>
    <col customWidth="1" min="30" max="30" width="10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2" t="s">
        <v>0</v>
      </c>
      <c r="C2" s="3"/>
      <c r="D2" s="3"/>
      <c r="E2" s="3"/>
      <c r="F2" s="4"/>
      <c r="G2" s="1"/>
      <c r="H2" s="2" t="s">
        <v>1</v>
      </c>
      <c r="I2" s="3"/>
      <c r="J2" s="3"/>
      <c r="K2" s="3"/>
      <c r="L2" s="4"/>
      <c r="M2" s="1"/>
      <c r="N2" s="2" t="s">
        <v>2</v>
      </c>
      <c r="O2" s="3"/>
      <c r="P2" s="3"/>
      <c r="Q2" s="3"/>
      <c r="R2" s="4"/>
      <c r="S2" s="5"/>
      <c r="T2" s="1"/>
      <c r="U2" s="2" t="s">
        <v>3</v>
      </c>
      <c r="V2" s="3"/>
      <c r="W2" s="3"/>
      <c r="X2" s="3"/>
      <c r="Y2" s="4"/>
      <c r="Z2" s="5"/>
      <c r="AB2" s="5"/>
      <c r="AC2" s="1"/>
      <c r="AD2" s="1"/>
    </row>
    <row r="3">
      <c r="A3" s="1"/>
      <c r="B3" s="6" t="s">
        <v>4</v>
      </c>
      <c r="C3" s="7" t="s">
        <v>5</v>
      </c>
      <c r="D3" s="6" t="s">
        <v>6</v>
      </c>
      <c r="E3" s="6" t="s">
        <v>7</v>
      </c>
      <c r="F3" s="6" t="s">
        <v>8</v>
      </c>
      <c r="G3" s="1"/>
      <c r="H3" s="6" t="s">
        <v>4</v>
      </c>
      <c r="I3" s="8" t="s">
        <v>5</v>
      </c>
      <c r="J3" s="6" t="s">
        <v>6</v>
      </c>
      <c r="K3" s="6" t="s">
        <v>7</v>
      </c>
      <c r="L3" s="6" t="s">
        <v>8</v>
      </c>
      <c r="M3" s="1"/>
      <c r="N3" s="6" t="s">
        <v>4</v>
      </c>
      <c r="O3" s="8" t="s">
        <v>5</v>
      </c>
      <c r="P3" s="6" t="s">
        <v>6</v>
      </c>
      <c r="Q3" s="6" t="s">
        <v>7</v>
      </c>
      <c r="R3" s="6" t="s">
        <v>8</v>
      </c>
      <c r="S3" s="9"/>
      <c r="T3" s="1"/>
      <c r="U3" s="6" t="s">
        <v>4</v>
      </c>
      <c r="V3" s="8" t="s">
        <v>5</v>
      </c>
      <c r="W3" s="6" t="s">
        <v>6</v>
      </c>
      <c r="X3" s="6" t="s">
        <v>7</v>
      </c>
      <c r="Y3" s="6" t="s">
        <v>8</v>
      </c>
      <c r="AB3" s="1"/>
      <c r="AC3" s="1"/>
      <c r="AD3" s="1"/>
    </row>
    <row r="4">
      <c r="A4" s="1"/>
      <c r="B4" s="10">
        <f t="array" ref="B4:B15">SEQUENCE(12,1)</f>
        <v>1</v>
      </c>
      <c r="C4" s="11" t="s">
        <v>270</v>
      </c>
      <c r="D4" s="12">
        <v>12.0</v>
      </c>
      <c r="E4" s="95">
        <v>25.0</v>
      </c>
      <c r="F4" s="14">
        <f t="shared" ref="F4:F14" si="1">D4+E4</f>
        <v>37</v>
      </c>
      <c r="G4" s="1"/>
      <c r="H4" s="10">
        <f t="array" ref="H4:H15">SEQUENCE(12,1)</f>
        <v>1</v>
      </c>
      <c r="I4" s="15" t="str">
        <f t="shared" ref="I4:I15" si="2">C4</f>
        <v>UN</v>
      </c>
      <c r="J4" s="12">
        <v>12.0</v>
      </c>
      <c r="K4" s="12">
        <v>25.0</v>
      </c>
      <c r="L4" s="14">
        <f t="shared" ref="L4:L14" si="3">J4+K4</f>
        <v>37</v>
      </c>
      <c r="M4" s="1"/>
      <c r="N4" s="10">
        <f t="array" ref="N4:N15">SEQUENCE(12,1)</f>
        <v>1</v>
      </c>
      <c r="O4" s="15" t="str">
        <f t="shared" ref="O4:O15" si="4">C4</f>
        <v>UN</v>
      </c>
      <c r="P4" s="12">
        <v>7.0</v>
      </c>
      <c r="Q4" s="12">
        <v>12.0</v>
      </c>
      <c r="R4" s="14">
        <f t="shared" ref="R4:R15" si="5">P4+Q4</f>
        <v>19</v>
      </c>
      <c r="S4" s="16"/>
      <c r="T4" s="1"/>
      <c r="U4" s="10">
        <f t="array" ref="U4:U15">SEQUENCE(12,1)</f>
        <v>1</v>
      </c>
      <c r="V4" s="15" t="str">
        <f t="shared" ref="V4:V15" si="6">C4</f>
        <v>UN</v>
      </c>
      <c r="W4" s="12">
        <v>2.0</v>
      </c>
      <c r="X4" s="12">
        <v>1.0</v>
      </c>
      <c r="Y4" s="14">
        <f t="shared" ref="Y4:Y15" si="7">W4+X4</f>
        <v>3</v>
      </c>
      <c r="AB4" s="1"/>
      <c r="AC4" s="1"/>
      <c r="AD4" s="1"/>
    </row>
    <row r="5">
      <c r="A5" s="1"/>
      <c r="B5" s="17">
        <v>2.0</v>
      </c>
      <c r="C5" s="18" t="s">
        <v>271</v>
      </c>
      <c r="D5" s="19">
        <v>8.0</v>
      </c>
      <c r="E5" s="19">
        <v>9.0</v>
      </c>
      <c r="F5" s="20">
        <f t="shared" si="1"/>
        <v>17</v>
      </c>
      <c r="G5" s="1"/>
      <c r="H5" s="17">
        <v>2.0</v>
      </c>
      <c r="I5" s="21" t="str">
        <f t="shared" si="2"/>
        <v>VLC</v>
      </c>
      <c r="J5" s="19">
        <v>8.0</v>
      </c>
      <c r="K5" s="19">
        <v>9.0</v>
      </c>
      <c r="L5" s="22">
        <f t="shared" si="3"/>
        <v>17</v>
      </c>
      <c r="M5" s="1"/>
      <c r="N5" s="17">
        <v>2.0</v>
      </c>
      <c r="O5" s="15" t="str">
        <f t="shared" si="4"/>
        <v>VLC</v>
      </c>
      <c r="P5" s="19">
        <v>9.0</v>
      </c>
      <c r="Q5" s="19">
        <v>12.0</v>
      </c>
      <c r="R5" s="22">
        <f t="shared" si="5"/>
        <v>21</v>
      </c>
      <c r="S5" s="16"/>
      <c r="T5" s="1"/>
      <c r="U5" s="17">
        <v>2.0</v>
      </c>
      <c r="V5" s="15" t="str">
        <f t="shared" si="6"/>
        <v>VLC</v>
      </c>
      <c r="W5" s="19">
        <v>12.0</v>
      </c>
      <c r="X5" s="19">
        <v>10.0</v>
      </c>
      <c r="Y5" s="14">
        <f t="shared" si="7"/>
        <v>22</v>
      </c>
      <c r="AB5" s="1"/>
      <c r="AC5" s="1"/>
      <c r="AD5" s="1"/>
    </row>
    <row r="6">
      <c r="A6" s="1"/>
      <c r="B6" s="17">
        <v>3.0</v>
      </c>
      <c r="C6" s="18" t="s">
        <v>272</v>
      </c>
      <c r="D6" s="19">
        <v>6.0</v>
      </c>
      <c r="E6" s="19">
        <v>6.0</v>
      </c>
      <c r="F6" s="20">
        <f t="shared" si="1"/>
        <v>12</v>
      </c>
      <c r="G6" s="1"/>
      <c r="H6" s="17">
        <v>3.0</v>
      </c>
      <c r="I6" s="21" t="str">
        <f t="shared" si="2"/>
        <v>ELITE</v>
      </c>
      <c r="J6" s="19">
        <v>6.0</v>
      </c>
      <c r="K6" s="19">
        <v>8.0</v>
      </c>
      <c r="L6" s="22">
        <f t="shared" si="3"/>
        <v>14</v>
      </c>
      <c r="M6" s="1"/>
      <c r="N6" s="17">
        <v>3.0</v>
      </c>
      <c r="O6" s="15" t="str">
        <f t="shared" si="4"/>
        <v>ELITE</v>
      </c>
      <c r="P6" s="19">
        <v>4.0</v>
      </c>
      <c r="Q6" s="19">
        <v>5.0</v>
      </c>
      <c r="R6" s="22">
        <f t="shared" si="5"/>
        <v>9</v>
      </c>
      <c r="S6" s="16"/>
      <c r="T6" s="1"/>
      <c r="U6" s="17">
        <v>3.0</v>
      </c>
      <c r="V6" s="15" t="str">
        <f t="shared" si="6"/>
        <v>ELITE</v>
      </c>
      <c r="W6" s="19">
        <v>3.0</v>
      </c>
      <c r="X6" s="19">
        <v>0.0</v>
      </c>
      <c r="Y6" s="14">
        <f t="shared" si="7"/>
        <v>3</v>
      </c>
      <c r="AB6" s="1"/>
      <c r="AC6" s="1"/>
      <c r="AD6" s="1"/>
    </row>
    <row r="7">
      <c r="A7" s="1"/>
      <c r="B7" s="17">
        <v>4.0</v>
      </c>
      <c r="C7" s="13" t="s">
        <v>273</v>
      </c>
      <c r="D7" s="19">
        <v>3.0</v>
      </c>
      <c r="E7" s="19">
        <v>2.0</v>
      </c>
      <c r="F7" s="22">
        <f t="shared" si="1"/>
        <v>5</v>
      </c>
      <c r="G7" s="1"/>
      <c r="H7" s="17">
        <v>4.0</v>
      </c>
      <c r="I7" s="21" t="str">
        <f t="shared" si="2"/>
        <v>TS</v>
      </c>
      <c r="J7" s="19">
        <v>9.0</v>
      </c>
      <c r="K7" s="19">
        <v>8.0</v>
      </c>
      <c r="L7" s="22">
        <f t="shared" si="3"/>
        <v>17</v>
      </c>
      <c r="M7" s="1"/>
      <c r="N7" s="17">
        <v>4.0</v>
      </c>
      <c r="O7" s="15" t="str">
        <f t="shared" si="4"/>
        <v>TS</v>
      </c>
      <c r="P7" s="19">
        <v>5.0</v>
      </c>
      <c r="Q7" s="19">
        <v>4.0</v>
      </c>
      <c r="R7" s="22">
        <f t="shared" si="5"/>
        <v>9</v>
      </c>
      <c r="S7" s="16"/>
      <c r="T7" s="1"/>
      <c r="U7" s="17">
        <v>4.0</v>
      </c>
      <c r="V7" s="15" t="str">
        <f t="shared" si="6"/>
        <v>TS</v>
      </c>
      <c r="W7" s="19">
        <v>4.0</v>
      </c>
      <c r="X7" s="19">
        <v>11.0</v>
      </c>
      <c r="Y7" s="14">
        <f t="shared" si="7"/>
        <v>15</v>
      </c>
      <c r="AB7" s="1"/>
      <c r="AC7" s="1"/>
      <c r="AD7" s="23"/>
    </row>
    <row r="8">
      <c r="A8" s="1"/>
      <c r="B8" s="17">
        <v>5.0</v>
      </c>
      <c r="C8" s="18" t="s">
        <v>274</v>
      </c>
      <c r="D8" s="19">
        <v>9.0</v>
      </c>
      <c r="E8" s="19">
        <v>14.0</v>
      </c>
      <c r="F8" s="22">
        <f t="shared" si="1"/>
        <v>23</v>
      </c>
      <c r="G8" s="1"/>
      <c r="H8" s="17">
        <v>5.0</v>
      </c>
      <c r="I8" s="21" t="str">
        <f t="shared" si="2"/>
        <v>PW</v>
      </c>
      <c r="J8" s="19">
        <v>2.0</v>
      </c>
      <c r="K8" s="19">
        <v>2.0</v>
      </c>
      <c r="L8" s="22">
        <f t="shared" si="3"/>
        <v>4</v>
      </c>
      <c r="M8" s="1"/>
      <c r="N8" s="17">
        <v>5.0</v>
      </c>
      <c r="O8" s="15" t="str">
        <f t="shared" si="4"/>
        <v>PW</v>
      </c>
      <c r="P8" s="19">
        <v>0.0</v>
      </c>
      <c r="Q8" s="19">
        <v>1.0</v>
      </c>
      <c r="R8" s="22">
        <f t="shared" si="5"/>
        <v>1</v>
      </c>
      <c r="S8" s="16"/>
      <c r="T8" s="1"/>
      <c r="U8" s="17">
        <v>5.0</v>
      </c>
      <c r="V8" s="15" t="str">
        <f t="shared" si="6"/>
        <v>PW</v>
      </c>
      <c r="W8" s="19">
        <v>5.0</v>
      </c>
      <c r="X8" s="19">
        <v>16.0</v>
      </c>
      <c r="Y8" s="14">
        <f t="shared" si="7"/>
        <v>21</v>
      </c>
      <c r="AB8" s="1"/>
      <c r="AC8" s="1"/>
      <c r="AD8" s="1"/>
    </row>
    <row r="9">
      <c r="A9" s="1"/>
      <c r="B9" s="17">
        <v>6.0</v>
      </c>
      <c r="C9" s="18" t="s">
        <v>275</v>
      </c>
      <c r="D9" s="19">
        <v>4.0</v>
      </c>
      <c r="E9" s="19">
        <v>11.0</v>
      </c>
      <c r="F9" s="22">
        <f t="shared" si="1"/>
        <v>15</v>
      </c>
      <c r="G9" s="1"/>
      <c r="H9" s="17">
        <v>6.0</v>
      </c>
      <c r="I9" s="21" t="str">
        <f t="shared" si="2"/>
        <v>XC</v>
      </c>
      <c r="J9" s="19">
        <v>3.0</v>
      </c>
      <c r="K9" s="19">
        <v>0.0</v>
      </c>
      <c r="L9" s="22">
        <f t="shared" si="3"/>
        <v>3</v>
      </c>
      <c r="M9" s="1"/>
      <c r="N9" s="17">
        <v>6.0</v>
      </c>
      <c r="O9" s="15" t="str">
        <f t="shared" si="4"/>
        <v>XC</v>
      </c>
      <c r="P9" s="19">
        <v>2.0</v>
      </c>
      <c r="Q9" s="19">
        <v>6.0</v>
      </c>
      <c r="R9" s="22">
        <f t="shared" si="5"/>
        <v>8</v>
      </c>
      <c r="S9" s="16"/>
      <c r="T9" s="1"/>
      <c r="U9" s="17">
        <v>6.0</v>
      </c>
      <c r="V9" s="15" t="str">
        <f t="shared" si="6"/>
        <v>XC</v>
      </c>
      <c r="W9" s="19">
        <v>1.0</v>
      </c>
      <c r="X9" s="19">
        <v>0.0</v>
      </c>
      <c r="Y9" s="14">
        <f t="shared" si="7"/>
        <v>1</v>
      </c>
      <c r="AB9" s="1"/>
      <c r="AC9" s="1"/>
      <c r="AD9" s="1"/>
    </row>
    <row r="10">
      <c r="A10" s="1"/>
      <c r="B10" s="17">
        <v>7.0</v>
      </c>
      <c r="C10" s="18" t="s">
        <v>276</v>
      </c>
      <c r="D10" s="19">
        <v>7.0</v>
      </c>
      <c r="E10" s="19">
        <v>11.0</v>
      </c>
      <c r="F10" s="22">
        <f t="shared" si="1"/>
        <v>18</v>
      </c>
      <c r="G10" s="1"/>
      <c r="H10" s="17">
        <v>7.0</v>
      </c>
      <c r="I10" s="21" t="str">
        <f t="shared" si="2"/>
        <v>4OG</v>
      </c>
      <c r="J10" s="19">
        <v>7.0</v>
      </c>
      <c r="K10" s="19">
        <v>9.0</v>
      </c>
      <c r="L10" s="22">
        <f t="shared" si="3"/>
        <v>16</v>
      </c>
      <c r="M10" s="1"/>
      <c r="N10" s="24">
        <v>7.0</v>
      </c>
      <c r="O10" s="15" t="str">
        <f t="shared" si="4"/>
        <v>4OG</v>
      </c>
      <c r="P10" s="19">
        <v>12.0</v>
      </c>
      <c r="Q10" s="19">
        <v>10.0</v>
      </c>
      <c r="R10" s="22">
        <f t="shared" si="5"/>
        <v>22</v>
      </c>
      <c r="S10" s="16"/>
      <c r="T10" s="1"/>
      <c r="U10" s="17">
        <v>7.0</v>
      </c>
      <c r="V10" s="15" t="str">
        <f t="shared" si="6"/>
        <v>4OG</v>
      </c>
      <c r="W10" s="19">
        <v>7.0</v>
      </c>
      <c r="X10" s="19">
        <v>13.0</v>
      </c>
      <c r="Y10" s="14">
        <f t="shared" si="7"/>
        <v>20</v>
      </c>
      <c r="AB10" s="1"/>
      <c r="AC10" s="1"/>
    </row>
    <row r="11">
      <c r="A11" s="1"/>
      <c r="B11" s="17">
        <v>8.0</v>
      </c>
      <c r="C11" s="18" t="s">
        <v>277</v>
      </c>
      <c r="D11" s="19">
        <v>1.0</v>
      </c>
      <c r="E11" s="12">
        <v>8.0</v>
      </c>
      <c r="F11" s="22">
        <f t="shared" si="1"/>
        <v>9</v>
      </c>
      <c r="G11" s="1"/>
      <c r="H11" s="17">
        <v>8.0</v>
      </c>
      <c r="I11" s="21" t="str">
        <f t="shared" si="2"/>
        <v>WG</v>
      </c>
      <c r="J11" s="19">
        <v>1.0</v>
      </c>
      <c r="K11" s="19">
        <v>0.0</v>
      </c>
      <c r="L11" s="22">
        <f t="shared" si="3"/>
        <v>1</v>
      </c>
      <c r="M11" s="1"/>
      <c r="N11" s="25">
        <v>8.0</v>
      </c>
      <c r="O11" s="21" t="str">
        <f t="shared" si="4"/>
        <v>WG</v>
      </c>
      <c r="P11" s="19">
        <v>3.0</v>
      </c>
      <c r="Q11" s="19">
        <v>9.0</v>
      </c>
      <c r="R11" s="22">
        <f t="shared" si="5"/>
        <v>12</v>
      </c>
      <c r="S11" s="16"/>
      <c r="T11" s="1"/>
      <c r="U11" s="17">
        <v>8.0</v>
      </c>
      <c r="V11" s="15" t="str">
        <f t="shared" si="6"/>
        <v>WG</v>
      </c>
      <c r="W11" s="19">
        <v>9.0</v>
      </c>
      <c r="X11" s="19">
        <v>18.0</v>
      </c>
      <c r="Y11" s="14">
        <f t="shared" si="7"/>
        <v>27</v>
      </c>
      <c r="AB11" s="1"/>
      <c r="AC11" s="1"/>
      <c r="AD11" s="26" t="s">
        <v>18</v>
      </c>
    </row>
    <row r="12">
      <c r="A12" s="1"/>
      <c r="B12" s="17">
        <v>9.0</v>
      </c>
      <c r="C12" s="11"/>
      <c r="D12" s="19">
        <v>0.0</v>
      </c>
      <c r="E12" s="19">
        <v>0.0</v>
      </c>
      <c r="F12" s="22">
        <f t="shared" si="1"/>
        <v>0</v>
      </c>
      <c r="G12" s="1"/>
      <c r="H12" s="17">
        <v>9.0</v>
      </c>
      <c r="I12" s="21" t="str">
        <f t="shared" si="2"/>
        <v/>
      </c>
      <c r="J12" s="19">
        <v>0.0</v>
      </c>
      <c r="K12" s="19">
        <v>0.0</v>
      </c>
      <c r="L12" s="22">
        <f t="shared" si="3"/>
        <v>0</v>
      </c>
      <c r="M12" s="1"/>
      <c r="N12" s="10">
        <v>9.0</v>
      </c>
      <c r="O12" s="15" t="str">
        <f t="shared" si="4"/>
        <v/>
      </c>
      <c r="P12" s="19">
        <v>0.0</v>
      </c>
      <c r="Q12" s="19">
        <v>0.0</v>
      </c>
      <c r="R12" s="22">
        <f t="shared" si="5"/>
        <v>0</v>
      </c>
      <c r="S12" s="16"/>
      <c r="T12" s="1"/>
      <c r="U12" s="17">
        <v>9.0</v>
      </c>
      <c r="V12" s="15" t="str">
        <f t="shared" si="6"/>
        <v/>
      </c>
      <c r="W12" s="19">
        <v>0.0</v>
      </c>
      <c r="X12" s="19">
        <v>0.0</v>
      </c>
      <c r="Y12" s="14">
        <f t="shared" si="7"/>
        <v>0</v>
      </c>
      <c r="AB12" s="1"/>
      <c r="AC12" s="1"/>
    </row>
    <row r="13">
      <c r="A13" s="1"/>
      <c r="B13" s="17">
        <v>10.0</v>
      </c>
      <c r="C13" s="18" t="s">
        <v>278</v>
      </c>
      <c r="D13" s="19">
        <v>0.0</v>
      </c>
      <c r="E13" s="19">
        <v>4.0</v>
      </c>
      <c r="F13" s="22">
        <f t="shared" si="1"/>
        <v>4</v>
      </c>
      <c r="G13" s="1"/>
      <c r="H13" s="17">
        <v>10.0</v>
      </c>
      <c r="I13" s="21" t="str">
        <f t="shared" si="2"/>
        <v>C2D</v>
      </c>
      <c r="J13" s="19">
        <v>5.0</v>
      </c>
      <c r="K13" s="19">
        <v>4.0</v>
      </c>
      <c r="L13" s="22">
        <f t="shared" si="3"/>
        <v>9</v>
      </c>
      <c r="M13" s="1"/>
      <c r="N13" s="17">
        <v>10.0</v>
      </c>
      <c r="O13" s="15" t="str">
        <f t="shared" si="4"/>
        <v>C2D</v>
      </c>
      <c r="P13" s="19">
        <v>8.0</v>
      </c>
      <c r="Q13" s="19">
        <v>16.0</v>
      </c>
      <c r="R13" s="22">
        <f t="shared" si="5"/>
        <v>24</v>
      </c>
      <c r="S13" s="16"/>
      <c r="T13" s="1"/>
      <c r="U13" s="17">
        <v>10.0</v>
      </c>
      <c r="V13" s="15" t="str">
        <f t="shared" si="6"/>
        <v>C2D</v>
      </c>
      <c r="W13" s="19">
        <v>6.0</v>
      </c>
      <c r="X13" s="19">
        <v>1.0</v>
      </c>
      <c r="Y13" s="14">
        <f t="shared" si="7"/>
        <v>7</v>
      </c>
      <c r="AB13" s="1"/>
      <c r="AC13" s="1"/>
      <c r="AD13" s="1"/>
    </row>
    <row r="14">
      <c r="A14" s="1"/>
      <c r="B14" s="17">
        <v>11.0</v>
      </c>
      <c r="C14" s="18" t="s">
        <v>279</v>
      </c>
      <c r="D14" s="19">
        <v>2.0</v>
      </c>
      <c r="E14" s="19">
        <v>3.0</v>
      </c>
      <c r="F14" s="22">
        <f t="shared" si="1"/>
        <v>5</v>
      </c>
      <c r="G14" s="1"/>
      <c r="H14" s="17">
        <v>11.0</v>
      </c>
      <c r="I14" s="21" t="str">
        <f t="shared" si="2"/>
        <v>DE</v>
      </c>
      <c r="J14" s="19">
        <v>0.0</v>
      </c>
      <c r="K14" s="19">
        <v>0.0</v>
      </c>
      <c r="L14" s="20">
        <f t="shared" si="3"/>
        <v>0</v>
      </c>
      <c r="M14" s="1"/>
      <c r="N14" s="17">
        <v>11.0</v>
      </c>
      <c r="O14" s="15" t="str">
        <f t="shared" si="4"/>
        <v>DE</v>
      </c>
      <c r="P14" s="19">
        <v>1.0</v>
      </c>
      <c r="Q14" s="19">
        <v>0.0</v>
      </c>
      <c r="R14" s="22">
        <f t="shared" si="5"/>
        <v>1</v>
      </c>
      <c r="S14" s="16"/>
      <c r="T14" s="1"/>
      <c r="U14" s="17">
        <v>11.0</v>
      </c>
      <c r="V14" s="15" t="str">
        <f t="shared" si="6"/>
        <v>DE</v>
      </c>
      <c r="W14" s="19">
        <v>0.0</v>
      </c>
      <c r="X14" s="19">
        <v>0.0</v>
      </c>
      <c r="Y14" s="14">
        <f t="shared" si="7"/>
        <v>0</v>
      </c>
      <c r="AB14" s="1"/>
      <c r="AC14" s="1"/>
      <c r="AD14" s="1"/>
    </row>
    <row r="15">
      <c r="A15" s="1"/>
      <c r="B15" s="27">
        <v>12.0</v>
      </c>
      <c r="C15" s="28" t="s">
        <v>280</v>
      </c>
      <c r="D15" s="29">
        <v>5.0</v>
      </c>
      <c r="E15" s="29">
        <v>12.0</v>
      </c>
      <c r="F15" s="30">
        <f>C45+E15</f>
        <v>18</v>
      </c>
      <c r="G15" s="1"/>
      <c r="H15" s="27">
        <v>12.0</v>
      </c>
      <c r="I15" s="31" t="str">
        <f t="shared" si="2"/>
        <v>BR</v>
      </c>
      <c r="J15" s="29">
        <v>4.0</v>
      </c>
      <c r="K15" s="29">
        <v>15.0</v>
      </c>
      <c r="L15" s="30">
        <f>E45+K15</f>
        <v>22</v>
      </c>
      <c r="M15" s="1"/>
      <c r="N15" s="27">
        <v>12.0</v>
      </c>
      <c r="O15" s="32" t="str">
        <f t="shared" si="4"/>
        <v>BR</v>
      </c>
      <c r="P15" s="29">
        <v>6.0</v>
      </c>
      <c r="Q15" s="29">
        <v>14.0</v>
      </c>
      <c r="R15" s="22">
        <f t="shared" si="5"/>
        <v>20</v>
      </c>
      <c r="S15" s="16"/>
      <c r="T15" s="1"/>
      <c r="U15" s="24">
        <v>12.0</v>
      </c>
      <c r="V15" s="33" t="str">
        <f t="shared" si="6"/>
        <v>BR</v>
      </c>
      <c r="W15" s="34">
        <v>8.0</v>
      </c>
      <c r="X15" s="34">
        <v>14.0</v>
      </c>
      <c r="Y15" s="14">
        <f t="shared" si="7"/>
        <v>22</v>
      </c>
      <c r="AB15" s="1"/>
      <c r="AC15" s="1"/>
      <c r="AD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35"/>
      <c r="V16" s="36"/>
      <c r="W16" s="36"/>
      <c r="X16" s="36"/>
      <c r="Y16" s="36"/>
      <c r="Z16" s="36"/>
      <c r="AA16" s="36"/>
      <c r="AB16" s="36"/>
      <c r="AC16" s="37"/>
      <c r="AD16" s="1"/>
    </row>
    <row r="17">
      <c r="A17" s="1"/>
      <c r="B17" s="2" t="s">
        <v>23</v>
      </c>
      <c r="C17" s="3"/>
      <c r="D17" s="3"/>
      <c r="E17" s="3"/>
      <c r="F17" s="4"/>
      <c r="G17" s="1"/>
      <c r="H17" s="2" t="s">
        <v>24</v>
      </c>
      <c r="I17" s="3"/>
      <c r="J17" s="3"/>
      <c r="K17" s="3"/>
      <c r="L17" s="4"/>
      <c r="M17" s="1"/>
      <c r="N17" s="38" t="s">
        <v>25</v>
      </c>
      <c r="O17" s="3"/>
      <c r="P17" s="3"/>
      <c r="Q17" s="3"/>
      <c r="R17" s="3"/>
      <c r="S17" s="3"/>
      <c r="T17" s="4"/>
      <c r="U17" s="39"/>
      <c r="V17" s="40" t="s">
        <v>258</v>
      </c>
      <c r="W17" s="41"/>
      <c r="X17" s="41"/>
      <c r="Y17" s="41"/>
      <c r="Z17" s="41"/>
      <c r="AA17" s="41"/>
      <c r="AB17" s="42"/>
      <c r="AC17" s="43"/>
      <c r="AD17" s="44"/>
    </row>
    <row r="18">
      <c r="A18" s="1"/>
      <c r="B18" s="6" t="s">
        <v>4</v>
      </c>
      <c r="C18" s="8" t="s">
        <v>5</v>
      </c>
      <c r="D18" s="6" t="s">
        <v>6</v>
      </c>
      <c r="E18" s="6" t="s">
        <v>7</v>
      </c>
      <c r="F18" s="6" t="s">
        <v>8</v>
      </c>
      <c r="G18" s="1"/>
      <c r="H18" s="6" t="s">
        <v>4</v>
      </c>
      <c r="I18" s="8" t="s">
        <v>5</v>
      </c>
      <c r="J18" s="6" t="s">
        <v>6</v>
      </c>
      <c r="K18" s="6" t="s">
        <v>7</v>
      </c>
      <c r="L18" s="6" t="s">
        <v>8</v>
      </c>
      <c r="M18" s="1"/>
      <c r="N18" s="6" t="s">
        <v>4</v>
      </c>
      <c r="O18" s="11" t="s">
        <v>27</v>
      </c>
      <c r="P18" s="45" t="s">
        <v>28</v>
      </c>
      <c r="Q18" s="45" t="s">
        <v>29</v>
      </c>
      <c r="R18" s="45" t="s">
        <v>30</v>
      </c>
      <c r="S18" s="45" t="s">
        <v>31</v>
      </c>
      <c r="T18" s="46" t="s">
        <v>32</v>
      </c>
      <c r="U18" s="47"/>
      <c r="V18" s="48" t="s">
        <v>4</v>
      </c>
      <c r="W18" s="48" t="s">
        <v>27</v>
      </c>
      <c r="X18" s="48" t="s">
        <v>28</v>
      </c>
      <c r="Y18" s="48" t="s">
        <v>29</v>
      </c>
      <c r="Z18" s="48" t="s">
        <v>30</v>
      </c>
      <c r="AA18" s="48" t="s">
        <v>31</v>
      </c>
      <c r="AB18" s="48" t="s">
        <v>32</v>
      </c>
      <c r="AC18" s="49"/>
      <c r="AD18" s="5"/>
    </row>
    <row r="19">
      <c r="A19" s="1"/>
      <c r="B19" s="10">
        <f t="array" ref="B19:B30">SEQUENCE(12,1)</f>
        <v>1</v>
      </c>
      <c r="C19" s="15" t="str">
        <f t="shared" ref="C19:C30" si="8">C4</f>
        <v>UN</v>
      </c>
      <c r="D19" s="12"/>
      <c r="E19" s="12"/>
      <c r="F19" s="50">
        <f t="shared" ref="F19:F30" si="9">D19+E19</f>
        <v>0</v>
      </c>
      <c r="G19" s="1"/>
      <c r="H19" s="10">
        <f t="array" ref="H19:H30">SEQUENCE(12,1)</f>
        <v>1</v>
      </c>
      <c r="I19" s="15" t="str">
        <f t="shared" ref="I19:I30" si="10">C4</f>
        <v>UN</v>
      </c>
      <c r="J19" s="12"/>
      <c r="K19" s="12"/>
      <c r="L19" s="14">
        <f t="shared" ref="L19:L30" si="11">J19+K19</f>
        <v>0</v>
      </c>
      <c r="M19" s="1"/>
      <c r="N19" s="147">
        <v>1.0</v>
      </c>
      <c r="O19" s="19" t="s">
        <v>281</v>
      </c>
      <c r="P19" s="12">
        <f t="shared" ref="P19:P30" si="12">C46+E46+G46+I46+K46+M46</f>
        <v>2</v>
      </c>
      <c r="Q19" s="52">
        <f t="shared" ref="Q19:Q30" si="13">COUNT(D4,J4,P4,W4,D19,J19)</f>
        <v>4</v>
      </c>
      <c r="R19" s="53">
        <f t="shared" ref="R19:R30" si="14">P4+J4+D4+W4+D19+J19</f>
        <v>33</v>
      </c>
      <c r="S19" s="53">
        <f t="shared" ref="S19:S25" si="15">E4+K4+Q4+X4+E19+K19</f>
        <v>63</v>
      </c>
      <c r="T19" s="54">
        <f t="shared" ref="T19:T30" si="16">R19+S19</f>
        <v>96</v>
      </c>
      <c r="U19" s="47"/>
      <c r="V19" s="55">
        <f t="array" ref="V19:V30">SEQUENCE(12,1)</f>
        <v>1</v>
      </c>
      <c r="W19" s="56" t="str">
        <f t="array" ref="W19:AB30">SORT(O19:T30,6,FALSE,2,FALSE,5,FALSE,4,FALSE)</f>
        <v>TEAM X </v>
      </c>
      <c r="X19" s="56">
        <v>2.0</v>
      </c>
      <c r="Y19" s="56">
        <v>4.0</v>
      </c>
      <c r="Z19" s="57">
        <v>33.0</v>
      </c>
      <c r="AA19" s="57">
        <v>63.0</v>
      </c>
      <c r="AB19" s="58">
        <v>96.0</v>
      </c>
      <c r="AC19" s="49"/>
      <c r="AD19" s="16"/>
    </row>
    <row r="20">
      <c r="A20" s="1"/>
      <c r="B20" s="17">
        <v>2.0</v>
      </c>
      <c r="C20" s="15" t="str">
        <f t="shared" si="8"/>
        <v>VLC</v>
      </c>
      <c r="D20" s="19"/>
      <c r="E20" s="19"/>
      <c r="F20" s="50">
        <f t="shared" si="9"/>
        <v>0</v>
      </c>
      <c r="G20" s="1"/>
      <c r="H20" s="17">
        <v>2.0</v>
      </c>
      <c r="I20" s="15" t="str">
        <f t="shared" si="10"/>
        <v>VLC</v>
      </c>
      <c r="J20" s="19"/>
      <c r="K20" s="19"/>
      <c r="L20" s="14">
        <f t="shared" si="11"/>
        <v>0</v>
      </c>
      <c r="M20" s="1"/>
      <c r="N20" s="148">
        <v>2.0</v>
      </c>
      <c r="O20" s="19" t="s">
        <v>282</v>
      </c>
      <c r="P20" s="12">
        <f t="shared" si="12"/>
        <v>1</v>
      </c>
      <c r="Q20" s="52">
        <f t="shared" si="13"/>
        <v>4</v>
      </c>
      <c r="R20" s="53">
        <f t="shared" si="14"/>
        <v>37</v>
      </c>
      <c r="S20" s="53">
        <f t="shared" si="15"/>
        <v>40</v>
      </c>
      <c r="T20" s="54">
        <f t="shared" si="16"/>
        <v>77</v>
      </c>
      <c r="U20" s="47"/>
      <c r="V20" s="60">
        <v>2.0</v>
      </c>
      <c r="W20" s="61" t="s">
        <v>283</v>
      </c>
      <c r="X20" s="61">
        <v>0.0</v>
      </c>
      <c r="Y20" s="61">
        <v>4.0</v>
      </c>
      <c r="Z20" s="62">
        <v>23.0</v>
      </c>
      <c r="AA20" s="62">
        <v>55.0</v>
      </c>
      <c r="AB20" s="63">
        <v>78.0</v>
      </c>
      <c r="AC20" s="49"/>
      <c r="AD20" s="16"/>
    </row>
    <row r="21">
      <c r="A21" s="1"/>
      <c r="B21" s="17">
        <v>3.0</v>
      </c>
      <c r="C21" s="15" t="str">
        <f t="shared" si="8"/>
        <v>ELITE</v>
      </c>
      <c r="D21" s="19"/>
      <c r="E21" s="19"/>
      <c r="F21" s="50">
        <f t="shared" si="9"/>
        <v>0</v>
      </c>
      <c r="G21" s="1"/>
      <c r="H21" s="17">
        <v>3.0</v>
      </c>
      <c r="I21" s="15" t="str">
        <f t="shared" si="10"/>
        <v>ELITE</v>
      </c>
      <c r="J21" s="19"/>
      <c r="K21" s="19"/>
      <c r="L21" s="14">
        <f t="shared" si="11"/>
        <v>0</v>
      </c>
      <c r="M21" s="1"/>
      <c r="N21" s="148">
        <v>3.0</v>
      </c>
      <c r="O21" s="19" t="s">
        <v>284</v>
      </c>
      <c r="P21" s="12">
        <f t="shared" si="12"/>
        <v>0</v>
      </c>
      <c r="Q21" s="52">
        <f t="shared" si="13"/>
        <v>4</v>
      </c>
      <c r="R21" s="53">
        <f t="shared" si="14"/>
        <v>19</v>
      </c>
      <c r="S21" s="53">
        <f t="shared" si="15"/>
        <v>19</v>
      </c>
      <c r="T21" s="54">
        <f t="shared" si="16"/>
        <v>38</v>
      </c>
      <c r="U21" s="47"/>
      <c r="V21" s="64">
        <v>3.0</v>
      </c>
      <c r="W21" s="65" t="s">
        <v>282</v>
      </c>
      <c r="X21" s="66">
        <v>1.0</v>
      </c>
      <c r="Y21" s="66">
        <v>4.0</v>
      </c>
      <c r="Z21" s="67">
        <v>37.0</v>
      </c>
      <c r="AA21" s="67">
        <v>40.0</v>
      </c>
      <c r="AB21" s="68">
        <v>77.0</v>
      </c>
      <c r="AC21" s="49"/>
      <c r="AD21" s="16"/>
    </row>
    <row r="22">
      <c r="A22" s="1"/>
      <c r="B22" s="17">
        <v>4.0</v>
      </c>
      <c r="C22" s="15" t="str">
        <f t="shared" si="8"/>
        <v>TS</v>
      </c>
      <c r="D22" s="19"/>
      <c r="E22" s="19"/>
      <c r="F22" s="50">
        <f t="shared" si="9"/>
        <v>0</v>
      </c>
      <c r="G22" s="1"/>
      <c r="H22" s="17">
        <v>4.0</v>
      </c>
      <c r="I22" s="15" t="str">
        <f t="shared" si="10"/>
        <v>TS</v>
      </c>
      <c r="J22" s="19"/>
      <c r="K22" s="19"/>
      <c r="L22" s="14">
        <f t="shared" si="11"/>
        <v>0</v>
      </c>
      <c r="M22" s="1"/>
      <c r="N22" s="148">
        <v>4.0</v>
      </c>
      <c r="O22" s="19" t="s">
        <v>285</v>
      </c>
      <c r="P22" s="12">
        <f t="shared" si="12"/>
        <v>0</v>
      </c>
      <c r="Q22" s="52">
        <f t="shared" si="13"/>
        <v>4</v>
      </c>
      <c r="R22" s="53">
        <f t="shared" si="14"/>
        <v>21</v>
      </c>
      <c r="S22" s="53">
        <f t="shared" si="15"/>
        <v>25</v>
      </c>
      <c r="T22" s="54">
        <f t="shared" si="16"/>
        <v>46</v>
      </c>
      <c r="U22" s="47"/>
      <c r="V22" s="69">
        <v>4.0</v>
      </c>
      <c r="W22" s="70" t="s">
        <v>286</v>
      </c>
      <c r="X22" s="71">
        <v>1.0</v>
      </c>
      <c r="Y22" s="71">
        <v>4.0</v>
      </c>
      <c r="Z22" s="72">
        <v>33.0</v>
      </c>
      <c r="AA22" s="72">
        <v>43.0</v>
      </c>
      <c r="AB22" s="73">
        <v>76.0</v>
      </c>
      <c r="AC22" s="49"/>
      <c r="AD22" s="16"/>
    </row>
    <row r="23">
      <c r="A23" s="1"/>
      <c r="B23" s="17">
        <v>5.0</v>
      </c>
      <c r="C23" s="15" t="str">
        <f t="shared" si="8"/>
        <v>PW</v>
      </c>
      <c r="D23" s="19"/>
      <c r="E23" s="19"/>
      <c r="F23" s="50">
        <f t="shared" si="9"/>
        <v>0</v>
      </c>
      <c r="G23" s="1"/>
      <c r="H23" s="17">
        <v>5.0</v>
      </c>
      <c r="I23" s="15" t="str">
        <f t="shared" si="10"/>
        <v>PW</v>
      </c>
      <c r="J23" s="19"/>
      <c r="K23" s="19"/>
      <c r="L23" s="14">
        <f t="shared" si="11"/>
        <v>0</v>
      </c>
      <c r="M23" s="1"/>
      <c r="N23" s="148">
        <v>5.0</v>
      </c>
      <c r="O23" s="19" t="s">
        <v>287</v>
      </c>
      <c r="P23" s="12">
        <f t="shared" si="12"/>
        <v>0</v>
      </c>
      <c r="Q23" s="52">
        <f t="shared" si="13"/>
        <v>4</v>
      </c>
      <c r="R23" s="53">
        <f t="shared" si="14"/>
        <v>16</v>
      </c>
      <c r="S23" s="53">
        <f t="shared" si="15"/>
        <v>33</v>
      </c>
      <c r="T23" s="54">
        <f t="shared" si="16"/>
        <v>49</v>
      </c>
      <c r="U23" s="47"/>
      <c r="V23" s="74">
        <v>5.0</v>
      </c>
      <c r="W23" s="75" t="s">
        <v>288</v>
      </c>
      <c r="X23" s="76">
        <v>0.0</v>
      </c>
      <c r="Y23" s="76">
        <v>4.0</v>
      </c>
      <c r="Z23" s="77">
        <v>14.0</v>
      </c>
      <c r="AA23" s="77">
        <v>35.0</v>
      </c>
      <c r="AB23" s="78">
        <v>49.0</v>
      </c>
      <c r="AC23" s="49"/>
      <c r="AD23" s="16"/>
    </row>
    <row r="24">
      <c r="A24" s="1"/>
      <c r="B24" s="17">
        <v>6.0</v>
      </c>
      <c r="C24" s="15" t="str">
        <f t="shared" si="8"/>
        <v>XC</v>
      </c>
      <c r="D24" s="19"/>
      <c r="E24" s="19"/>
      <c r="F24" s="50">
        <f t="shared" si="9"/>
        <v>0</v>
      </c>
      <c r="G24" s="1"/>
      <c r="H24" s="17">
        <v>6.0</v>
      </c>
      <c r="I24" s="15" t="str">
        <f t="shared" si="10"/>
        <v>XC</v>
      </c>
      <c r="J24" s="19"/>
      <c r="K24" s="19"/>
      <c r="L24" s="14">
        <f t="shared" si="11"/>
        <v>0</v>
      </c>
      <c r="M24" s="1"/>
      <c r="N24" s="148">
        <v>6.0</v>
      </c>
      <c r="O24" s="19" t="s">
        <v>289</v>
      </c>
      <c r="P24" s="12">
        <f t="shared" si="12"/>
        <v>0</v>
      </c>
      <c r="Q24" s="52">
        <f t="shared" si="13"/>
        <v>4</v>
      </c>
      <c r="R24" s="53">
        <f t="shared" si="14"/>
        <v>10</v>
      </c>
      <c r="S24" s="53">
        <f t="shared" si="15"/>
        <v>17</v>
      </c>
      <c r="T24" s="54">
        <f t="shared" si="16"/>
        <v>27</v>
      </c>
      <c r="U24" s="47"/>
      <c r="V24" s="74">
        <v>6.0</v>
      </c>
      <c r="W24" s="75" t="s">
        <v>287</v>
      </c>
      <c r="X24" s="76">
        <v>0.0</v>
      </c>
      <c r="Y24" s="76">
        <v>4.0</v>
      </c>
      <c r="Z24" s="77">
        <v>16.0</v>
      </c>
      <c r="AA24" s="77">
        <v>33.0</v>
      </c>
      <c r="AB24" s="78">
        <v>49.0</v>
      </c>
      <c r="AC24" s="49"/>
      <c r="AD24" s="16"/>
    </row>
    <row r="25">
      <c r="A25" s="1"/>
      <c r="B25" s="17">
        <v>7.0</v>
      </c>
      <c r="C25" s="15" t="str">
        <f t="shared" si="8"/>
        <v>4OG</v>
      </c>
      <c r="D25" s="19"/>
      <c r="E25" s="19"/>
      <c r="F25" s="50">
        <f t="shared" si="9"/>
        <v>0</v>
      </c>
      <c r="G25" s="1"/>
      <c r="H25" s="17">
        <v>7.0</v>
      </c>
      <c r="I25" s="15" t="str">
        <f t="shared" si="10"/>
        <v>4OG</v>
      </c>
      <c r="J25" s="19"/>
      <c r="K25" s="19"/>
      <c r="L25" s="14">
        <f t="shared" si="11"/>
        <v>0</v>
      </c>
      <c r="M25" s="1"/>
      <c r="N25" s="148">
        <v>7.0</v>
      </c>
      <c r="O25" s="19" t="s">
        <v>286</v>
      </c>
      <c r="P25" s="12">
        <f t="shared" si="12"/>
        <v>1</v>
      </c>
      <c r="Q25" s="52">
        <f t="shared" si="13"/>
        <v>4</v>
      </c>
      <c r="R25" s="53">
        <f t="shared" si="14"/>
        <v>33</v>
      </c>
      <c r="S25" s="53">
        <f t="shared" si="15"/>
        <v>43</v>
      </c>
      <c r="T25" s="54">
        <f t="shared" si="16"/>
        <v>76</v>
      </c>
      <c r="U25" s="47"/>
      <c r="V25" s="79">
        <v>7.0</v>
      </c>
      <c r="W25" s="80" t="s">
        <v>285</v>
      </c>
      <c r="X25" s="81">
        <v>0.0</v>
      </c>
      <c r="Y25" s="81">
        <v>4.0</v>
      </c>
      <c r="Z25" s="82">
        <v>21.0</v>
      </c>
      <c r="AA25" s="82">
        <v>25.0</v>
      </c>
      <c r="AB25" s="83">
        <v>46.0</v>
      </c>
      <c r="AC25" s="49"/>
      <c r="AD25" s="16"/>
    </row>
    <row r="26">
      <c r="A26" s="1"/>
      <c r="B26" s="17">
        <v>8.0</v>
      </c>
      <c r="C26" s="15" t="str">
        <f t="shared" si="8"/>
        <v>WG</v>
      </c>
      <c r="D26" s="19"/>
      <c r="E26" s="19"/>
      <c r="F26" s="50">
        <f t="shared" si="9"/>
        <v>0</v>
      </c>
      <c r="G26" s="1"/>
      <c r="H26" s="17">
        <v>8.0</v>
      </c>
      <c r="I26" s="15" t="str">
        <f t="shared" si="10"/>
        <v>WG</v>
      </c>
      <c r="J26" s="19"/>
      <c r="K26" s="19"/>
      <c r="L26" s="14">
        <f t="shared" si="11"/>
        <v>0</v>
      </c>
      <c r="M26" s="1"/>
      <c r="N26" s="148">
        <v>8.0</v>
      </c>
      <c r="O26" s="149" t="s">
        <v>288</v>
      </c>
      <c r="P26" s="12">
        <f t="shared" si="12"/>
        <v>0</v>
      </c>
      <c r="Q26" s="52">
        <f t="shared" si="13"/>
        <v>4</v>
      </c>
      <c r="R26" s="53">
        <f t="shared" si="14"/>
        <v>14</v>
      </c>
      <c r="S26" s="53">
        <f>K11+Q11+X11+E26+K26+E11</f>
        <v>35</v>
      </c>
      <c r="T26" s="54">
        <f t="shared" si="16"/>
        <v>49</v>
      </c>
      <c r="U26" s="47"/>
      <c r="V26" s="85">
        <v>8.0</v>
      </c>
      <c r="W26" s="86" t="s">
        <v>290</v>
      </c>
      <c r="X26" s="87">
        <v>0.0</v>
      </c>
      <c r="Y26" s="87">
        <v>4.0</v>
      </c>
      <c r="Z26" s="88">
        <v>19.0</v>
      </c>
      <c r="AA26" s="88">
        <v>25.0</v>
      </c>
      <c r="AB26" s="89">
        <v>44.0</v>
      </c>
      <c r="AC26" s="49"/>
    </row>
    <row r="27">
      <c r="A27" s="1"/>
      <c r="B27" s="17">
        <v>9.0</v>
      </c>
      <c r="C27" s="15" t="str">
        <f t="shared" si="8"/>
        <v/>
      </c>
      <c r="D27" s="19"/>
      <c r="E27" s="19"/>
      <c r="F27" s="50">
        <f t="shared" si="9"/>
        <v>0</v>
      </c>
      <c r="G27" s="1"/>
      <c r="H27" s="17">
        <v>9.0</v>
      </c>
      <c r="I27" s="11" t="str">
        <f t="shared" si="10"/>
        <v/>
      </c>
      <c r="J27" s="19"/>
      <c r="K27" s="19"/>
      <c r="L27" s="14">
        <f t="shared" si="11"/>
        <v>0</v>
      </c>
      <c r="M27" s="1"/>
      <c r="N27" s="148">
        <v>9.0</v>
      </c>
      <c r="O27" s="19" t="s">
        <v>291</v>
      </c>
      <c r="P27" s="12">
        <f t="shared" si="12"/>
        <v>0</v>
      </c>
      <c r="Q27" s="52">
        <f t="shared" si="13"/>
        <v>4</v>
      </c>
      <c r="R27" s="53">
        <f t="shared" si="14"/>
        <v>0</v>
      </c>
      <c r="S27" s="53">
        <f t="shared" ref="S27:S30" si="17">E12+K12+Q12+X12+E27+K27</f>
        <v>0</v>
      </c>
      <c r="T27" s="54">
        <f t="shared" si="16"/>
        <v>0</v>
      </c>
      <c r="U27" s="47"/>
      <c r="V27" s="90">
        <v>9.0</v>
      </c>
      <c r="W27" s="91" t="s">
        <v>284</v>
      </c>
      <c r="X27" s="92">
        <v>0.0</v>
      </c>
      <c r="Y27" s="92">
        <v>4.0</v>
      </c>
      <c r="Z27" s="93">
        <v>19.0</v>
      </c>
      <c r="AA27" s="93">
        <v>19.0</v>
      </c>
      <c r="AB27" s="94">
        <v>38.0</v>
      </c>
      <c r="AC27" s="49"/>
    </row>
    <row r="28">
      <c r="A28" s="1"/>
      <c r="B28" s="17">
        <v>10.0</v>
      </c>
      <c r="C28" s="15" t="str">
        <f t="shared" si="8"/>
        <v>C2D</v>
      </c>
      <c r="D28" s="19"/>
      <c r="E28" s="19"/>
      <c r="F28" s="50">
        <f t="shared" si="9"/>
        <v>0</v>
      </c>
      <c r="G28" s="1"/>
      <c r="H28" s="17">
        <v>10.0</v>
      </c>
      <c r="I28" s="15" t="str">
        <f t="shared" si="10"/>
        <v>C2D</v>
      </c>
      <c r="J28" s="19"/>
      <c r="K28" s="19"/>
      <c r="L28" s="14">
        <f t="shared" si="11"/>
        <v>0</v>
      </c>
      <c r="M28" s="1"/>
      <c r="N28" s="148">
        <v>10.0</v>
      </c>
      <c r="O28" s="19" t="s">
        <v>290</v>
      </c>
      <c r="P28" s="12">
        <f t="shared" si="12"/>
        <v>0</v>
      </c>
      <c r="Q28" s="52">
        <f t="shared" si="13"/>
        <v>4</v>
      </c>
      <c r="R28" s="53">
        <f t="shared" si="14"/>
        <v>19</v>
      </c>
      <c r="S28" s="53">
        <f t="shared" si="17"/>
        <v>25</v>
      </c>
      <c r="T28" s="54">
        <f t="shared" si="16"/>
        <v>44</v>
      </c>
      <c r="U28" s="47"/>
      <c r="V28" s="90">
        <v>10.0</v>
      </c>
      <c r="W28" s="91" t="s">
        <v>289</v>
      </c>
      <c r="X28" s="92">
        <v>0.0</v>
      </c>
      <c r="Y28" s="92">
        <v>4.0</v>
      </c>
      <c r="Z28" s="93">
        <v>10.0</v>
      </c>
      <c r="AA28" s="93">
        <v>17.0</v>
      </c>
      <c r="AB28" s="94">
        <v>27.0</v>
      </c>
      <c r="AC28" s="49"/>
    </row>
    <row r="29">
      <c r="A29" s="1"/>
      <c r="B29" s="17">
        <v>11.0</v>
      </c>
      <c r="C29" s="15" t="str">
        <f t="shared" si="8"/>
        <v>DE</v>
      </c>
      <c r="D29" s="19"/>
      <c r="E29" s="19"/>
      <c r="F29" s="50">
        <f t="shared" si="9"/>
        <v>0</v>
      </c>
      <c r="G29" s="1"/>
      <c r="H29" s="17">
        <v>11.0</v>
      </c>
      <c r="I29" s="15" t="str">
        <f t="shared" si="10"/>
        <v>DE</v>
      </c>
      <c r="J29" s="19"/>
      <c r="K29" s="19"/>
      <c r="L29" s="14">
        <f t="shared" si="11"/>
        <v>0</v>
      </c>
      <c r="M29" s="1"/>
      <c r="N29" s="148">
        <v>11.0</v>
      </c>
      <c r="O29" s="150" t="s">
        <v>292</v>
      </c>
      <c r="P29" s="12">
        <f t="shared" si="12"/>
        <v>0</v>
      </c>
      <c r="Q29" s="52">
        <f t="shared" si="13"/>
        <v>4</v>
      </c>
      <c r="R29" s="53">
        <f t="shared" si="14"/>
        <v>3</v>
      </c>
      <c r="S29" s="53">
        <f t="shared" si="17"/>
        <v>3</v>
      </c>
      <c r="T29" s="54">
        <f t="shared" si="16"/>
        <v>6</v>
      </c>
      <c r="U29" s="47"/>
      <c r="V29" s="90">
        <v>11.0</v>
      </c>
      <c r="W29" s="91" t="s">
        <v>292</v>
      </c>
      <c r="X29" s="92">
        <v>0.0</v>
      </c>
      <c r="Y29" s="92">
        <v>4.0</v>
      </c>
      <c r="Z29" s="93">
        <v>3.0</v>
      </c>
      <c r="AA29" s="93">
        <v>3.0</v>
      </c>
      <c r="AB29" s="94">
        <v>6.0</v>
      </c>
      <c r="AC29" s="49"/>
      <c r="AD29" s="16"/>
    </row>
    <row r="30">
      <c r="A30" s="1"/>
      <c r="B30" s="27">
        <v>12.0</v>
      </c>
      <c r="C30" s="96" t="str">
        <f t="shared" si="8"/>
        <v>BR</v>
      </c>
      <c r="D30" s="29"/>
      <c r="E30" s="29"/>
      <c r="F30" s="50">
        <f t="shared" si="9"/>
        <v>0</v>
      </c>
      <c r="G30" s="1"/>
      <c r="H30" s="27">
        <v>12.0</v>
      </c>
      <c r="I30" s="32" t="str">
        <f t="shared" si="10"/>
        <v>BR</v>
      </c>
      <c r="J30" s="29"/>
      <c r="K30" s="29"/>
      <c r="L30" s="14">
        <f t="shared" si="11"/>
        <v>0</v>
      </c>
      <c r="M30" s="1"/>
      <c r="N30" s="153">
        <v>12.0</v>
      </c>
      <c r="O30" s="145" t="s">
        <v>283</v>
      </c>
      <c r="P30" s="12">
        <f t="shared" si="12"/>
        <v>0</v>
      </c>
      <c r="Q30" s="52">
        <f t="shared" si="13"/>
        <v>4</v>
      </c>
      <c r="R30" s="53">
        <f t="shared" si="14"/>
        <v>23</v>
      </c>
      <c r="S30" s="53">
        <f t="shared" si="17"/>
        <v>55</v>
      </c>
      <c r="T30" s="99">
        <f t="shared" si="16"/>
        <v>78</v>
      </c>
      <c r="U30" s="47"/>
      <c r="V30" s="100">
        <v>12.0</v>
      </c>
      <c r="W30" s="101" t="s">
        <v>291</v>
      </c>
      <c r="X30" s="102">
        <v>0.0</v>
      </c>
      <c r="Y30" s="102">
        <v>4.0</v>
      </c>
      <c r="Z30" s="103">
        <v>0.0</v>
      </c>
      <c r="AA30" s="103">
        <v>0.0</v>
      </c>
      <c r="AB30" s="104">
        <v>0.0</v>
      </c>
      <c r="AC30" s="105"/>
      <c r="AD30" s="16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06"/>
      <c r="V31" s="107"/>
      <c r="W31" s="108"/>
      <c r="X31" s="108"/>
      <c r="Y31" s="108"/>
      <c r="Z31" s="108"/>
      <c r="AA31" s="108"/>
      <c r="AB31" s="108"/>
      <c r="AC31" s="105"/>
      <c r="AD31" s="1"/>
    </row>
    <row r="32">
      <c r="A32" s="1"/>
      <c r="B32" s="5"/>
      <c r="C32" s="5"/>
      <c r="D32" s="5"/>
      <c r="E32" s="5"/>
      <c r="F32" s="16"/>
      <c r="G32" s="1"/>
      <c r="H32" s="109"/>
      <c r="I32" s="109"/>
      <c r="J32" s="109"/>
      <c r="K32" s="109"/>
      <c r="L32" s="109"/>
      <c r="M32" s="1"/>
      <c r="N32" s="1"/>
      <c r="O32" s="1"/>
      <c r="P32" s="9"/>
      <c r="Q32" s="9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1"/>
      <c r="B33" s="9"/>
      <c r="C33" s="9" t="s">
        <v>45</v>
      </c>
      <c r="D33" s="9"/>
      <c r="E33" s="9"/>
      <c r="F33" s="9"/>
      <c r="G33" s="110"/>
      <c r="H33" s="9"/>
      <c r="I33" s="9"/>
      <c r="J33" s="9"/>
      <c r="K33" s="9"/>
      <c r="L33" s="9"/>
      <c r="M33" s="110"/>
      <c r="N33" s="1"/>
      <c r="O33" s="1"/>
      <c r="P33" s="9"/>
      <c r="Q33" s="9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1"/>
      <c r="B34" s="9" t="s">
        <v>0</v>
      </c>
      <c r="C34" s="9">
        <f t="shared" ref="C34:C45" si="18">IFS(D4=0,0,D4=1,12,D4=2,9,D4=3,8,D4=4,7,D4=5,6,D4=6,5,D4=7,4,D4=8,3,D4=9,2,D4=10,1,D4=11,0,D4=12,0,D4=0,0)</f>
        <v>0</v>
      </c>
      <c r="D34" s="9" t="s">
        <v>1</v>
      </c>
      <c r="E34" s="9">
        <f t="shared" ref="E34:E45" si="19">IFS(J4=0,0,J4=1,12,J4=2,9,J4=3,8,J4=4,7,J4=5,6,J4=6,5,J4=7,4,J4=8,3,J4=9,2,J4=10,1,J4=11,0,J4=12,0,J4=0,0)</f>
        <v>0</v>
      </c>
      <c r="F34" s="9" t="s">
        <v>2</v>
      </c>
      <c r="G34" s="110">
        <f t="shared" ref="G34:G45" si="20">IFS(P4=0,0,P4=1,12,P4=2,9,P4=3,8,P4=4,7,P4=5,6,P4=6,5,P4=7,4,P4=8,3,P4=9,2,P4=10,1,P4=11,0,P4=12,0,P4=0,0)</f>
        <v>4</v>
      </c>
      <c r="H34" s="9" t="s">
        <v>3</v>
      </c>
      <c r="I34" s="110">
        <f t="shared" ref="I34:I45" si="21">IFS(W4=0,0,W4=1,12,W4=2,9,W4=3,8,W4=4,7,W4=5,6,W4=6,5,W4=7,4,W4=8,3,W4=9,2,W4=10,1,W4=11,0,W4=12,0,W4=0,0)</f>
        <v>9</v>
      </c>
      <c r="J34" s="9" t="s">
        <v>23</v>
      </c>
      <c r="K34" s="110">
        <f t="shared" ref="K34:K45" si="22">IFS(D19=0,0,D19=1,12,D19=2,9,D19=3,8,D19=4,7,D19=5,6,D19=6,5,D19=7,4,D19=8,3,D19=9,2,D19=10,1,D19=11,0,D19=12,0,D19=0,0)</f>
        <v>0</v>
      </c>
      <c r="L34" s="9" t="s">
        <v>24</v>
      </c>
      <c r="M34" s="110">
        <f t="shared" ref="M34:M45" si="23">IFS(J19=0,0,J19=1,12,J19=2,9,J19=3,8,J19=4,7,J19=5,6,J19=6,5,J19=7,4,J19=8,3,J19=9,2,J19=10,1,J19=11,0,J19=12,0,J19=0,0)</f>
        <v>0</v>
      </c>
      <c r="N34" s="1"/>
      <c r="O34" s="1"/>
      <c r="P34" s="9"/>
      <c r="Q34" s="9"/>
      <c r="R34" s="1"/>
      <c r="S34" s="1"/>
      <c r="T34" s="1"/>
      <c r="U34" s="5"/>
      <c r="V34" s="5"/>
      <c r="W34" s="5"/>
      <c r="X34" s="1"/>
      <c r="Y34" s="1"/>
      <c r="Z34" s="1"/>
      <c r="AA34" s="1"/>
      <c r="AB34" s="1"/>
      <c r="AC34" s="1"/>
      <c r="AD34" s="1"/>
    </row>
    <row r="35">
      <c r="A35" s="1"/>
      <c r="B35" s="110"/>
      <c r="C35" s="9">
        <f t="shared" si="18"/>
        <v>3</v>
      </c>
      <c r="D35" s="9"/>
      <c r="E35" s="9">
        <f t="shared" si="19"/>
        <v>3</v>
      </c>
      <c r="F35" s="110"/>
      <c r="G35" s="110">
        <f t="shared" si="20"/>
        <v>2</v>
      </c>
      <c r="H35" s="110"/>
      <c r="I35" s="110">
        <f t="shared" si="21"/>
        <v>0</v>
      </c>
      <c r="J35" s="110"/>
      <c r="K35" s="110">
        <f t="shared" si="22"/>
        <v>0</v>
      </c>
      <c r="L35" s="110"/>
      <c r="M35" s="110">
        <f t="shared" si="23"/>
        <v>0</v>
      </c>
      <c r="N35" s="1"/>
      <c r="O35" s="1"/>
      <c r="P35" s="9"/>
      <c r="Q35" s="9"/>
      <c r="R35" s="1"/>
      <c r="S35" s="1"/>
      <c r="T35" s="1"/>
      <c r="U35" s="5"/>
      <c r="V35" s="5"/>
      <c r="W35" s="5"/>
      <c r="X35" s="1"/>
      <c r="Y35" s="1"/>
      <c r="Z35" s="1"/>
      <c r="AA35" s="1"/>
      <c r="AB35" s="1"/>
      <c r="AC35" s="1"/>
      <c r="AD35" s="1"/>
    </row>
    <row r="36">
      <c r="A36" s="1"/>
      <c r="B36" s="110"/>
      <c r="C36" s="9">
        <f t="shared" si="18"/>
        <v>5</v>
      </c>
      <c r="D36" s="9"/>
      <c r="E36" s="9">
        <f t="shared" si="19"/>
        <v>5</v>
      </c>
      <c r="F36" s="110"/>
      <c r="G36" s="110">
        <f t="shared" si="20"/>
        <v>7</v>
      </c>
      <c r="H36" s="110"/>
      <c r="I36" s="110">
        <f t="shared" si="21"/>
        <v>8</v>
      </c>
      <c r="J36" s="110"/>
      <c r="K36" s="110">
        <f t="shared" si="22"/>
        <v>0</v>
      </c>
      <c r="L36" s="110"/>
      <c r="M36" s="110">
        <f t="shared" si="23"/>
        <v>0</v>
      </c>
      <c r="N36" s="1"/>
      <c r="O36" s="1"/>
      <c r="P36" s="9"/>
      <c r="Q36" s="9"/>
      <c r="R36" s="1"/>
      <c r="S36" s="1"/>
      <c r="T36" s="1"/>
      <c r="U36" s="5"/>
      <c r="V36" s="5"/>
      <c r="W36" s="5"/>
      <c r="X36" s="1"/>
      <c r="Y36" s="1"/>
      <c r="Z36" s="1"/>
      <c r="AA36" s="1"/>
      <c r="AB36" s="1"/>
      <c r="AC36" s="1"/>
      <c r="AD36" s="1"/>
    </row>
    <row r="37">
      <c r="A37" s="1"/>
      <c r="B37" s="110"/>
      <c r="C37" s="9">
        <f t="shared" si="18"/>
        <v>8</v>
      </c>
      <c r="D37" s="9"/>
      <c r="E37" s="9">
        <f t="shared" si="19"/>
        <v>2</v>
      </c>
      <c r="F37" s="110"/>
      <c r="G37" s="110">
        <f t="shared" si="20"/>
        <v>6</v>
      </c>
      <c r="H37" s="110"/>
      <c r="I37" s="110">
        <f t="shared" si="21"/>
        <v>7</v>
      </c>
      <c r="J37" s="110"/>
      <c r="K37" s="110">
        <f t="shared" si="22"/>
        <v>0</v>
      </c>
      <c r="L37" s="110"/>
      <c r="M37" s="110">
        <f t="shared" si="23"/>
        <v>0</v>
      </c>
      <c r="N37" s="1"/>
      <c r="O37" s="1"/>
      <c r="P37" s="9"/>
      <c r="Q37" s="9"/>
      <c r="R37" s="1"/>
      <c r="S37" s="1"/>
      <c r="T37" s="1"/>
      <c r="U37" s="5"/>
      <c r="V37" s="5"/>
      <c r="W37" s="13"/>
      <c r="X37" s="1"/>
      <c r="Y37" s="1"/>
      <c r="Z37" s="1"/>
      <c r="AA37" s="1"/>
      <c r="AB37" s="1"/>
      <c r="AC37" s="1"/>
      <c r="AD37" s="1"/>
    </row>
    <row r="38">
      <c r="A38" s="1"/>
      <c r="B38" s="110"/>
      <c r="C38" s="9">
        <f t="shared" si="18"/>
        <v>2</v>
      </c>
      <c r="D38" s="9"/>
      <c r="E38" s="9">
        <f t="shared" si="19"/>
        <v>9</v>
      </c>
      <c r="F38" s="110"/>
      <c r="G38" s="110">
        <f t="shared" si="20"/>
        <v>0</v>
      </c>
      <c r="H38" s="110"/>
      <c r="I38" s="110">
        <f t="shared" si="21"/>
        <v>6</v>
      </c>
      <c r="J38" s="110"/>
      <c r="K38" s="110">
        <f t="shared" si="22"/>
        <v>0</v>
      </c>
      <c r="L38" s="110"/>
      <c r="M38" s="110">
        <f t="shared" si="23"/>
        <v>0</v>
      </c>
      <c r="N38" s="1"/>
      <c r="O38" s="1"/>
      <c r="P38" s="9"/>
      <c r="Q38" s="9"/>
      <c r="R38" s="1"/>
      <c r="S38" s="1"/>
      <c r="T38" s="1"/>
      <c r="U38" s="5"/>
      <c r="V38" s="5"/>
      <c r="W38" s="5"/>
      <c r="X38" s="1"/>
      <c r="Y38" s="1"/>
      <c r="Z38" s="1"/>
      <c r="AA38" s="1"/>
      <c r="AB38" s="1"/>
      <c r="AC38" s="1"/>
      <c r="AD38" s="1"/>
    </row>
    <row r="39">
      <c r="A39" s="1"/>
      <c r="B39" s="110"/>
      <c r="C39" s="9">
        <f t="shared" si="18"/>
        <v>7</v>
      </c>
      <c r="D39" s="9"/>
      <c r="E39" s="9">
        <f t="shared" si="19"/>
        <v>8</v>
      </c>
      <c r="F39" s="110"/>
      <c r="G39" s="110">
        <f t="shared" si="20"/>
        <v>9</v>
      </c>
      <c r="H39" s="110"/>
      <c r="I39" s="110">
        <f t="shared" si="21"/>
        <v>12</v>
      </c>
      <c r="J39" s="110"/>
      <c r="K39" s="110">
        <f t="shared" si="22"/>
        <v>0</v>
      </c>
      <c r="L39" s="110"/>
      <c r="M39" s="110">
        <f t="shared" si="23"/>
        <v>0</v>
      </c>
      <c r="N39" s="1"/>
      <c r="O39" s="1"/>
      <c r="P39" s="9"/>
      <c r="Q39" s="9"/>
      <c r="R39" s="1"/>
      <c r="S39" s="1"/>
      <c r="T39" s="1"/>
      <c r="U39" s="5"/>
      <c r="V39" s="5"/>
      <c r="W39" s="5"/>
      <c r="X39" s="5"/>
      <c r="Y39" s="1"/>
      <c r="Z39" s="1"/>
      <c r="AA39" s="1"/>
      <c r="AB39" s="1"/>
      <c r="AC39" s="1"/>
      <c r="AD39" s="1"/>
    </row>
    <row r="40">
      <c r="A40" s="1"/>
      <c r="B40" s="110"/>
      <c r="C40" s="9">
        <f t="shared" si="18"/>
        <v>4</v>
      </c>
      <c r="D40" s="9"/>
      <c r="E40" s="9">
        <f t="shared" si="19"/>
        <v>4</v>
      </c>
      <c r="F40" s="110"/>
      <c r="G40" s="110">
        <f t="shared" si="20"/>
        <v>0</v>
      </c>
      <c r="H40" s="110"/>
      <c r="I40" s="110">
        <f t="shared" si="21"/>
        <v>4</v>
      </c>
      <c r="J40" s="110"/>
      <c r="K40" s="110">
        <f t="shared" si="22"/>
        <v>0</v>
      </c>
      <c r="L40" s="110"/>
      <c r="M40" s="110">
        <f t="shared" si="23"/>
        <v>0</v>
      </c>
      <c r="N40" s="1"/>
      <c r="O40" s="1"/>
      <c r="P40" s="9"/>
      <c r="Q40" s="9"/>
      <c r="R40" s="1"/>
      <c r="S40" s="1"/>
      <c r="T40" s="1"/>
      <c r="U40" s="5"/>
      <c r="V40" s="5"/>
      <c r="W40" s="5"/>
      <c r="X40" s="5"/>
      <c r="Y40" s="1"/>
      <c r="Z40" s="1"/>
      <c r="AA40" s="1"/>
      <c r="AB40" s="1"/>
      <c r="AC40" s="1"/>
      <c r="AD40" s="1"/>
    </row>
    <row r="41">
      <c r="A41" s="1"/>
      <c r="B41" s="110"/>
      <c r="C41" s="9">
        <f t="shared" si="18"/>
        <v>12</v>
      </c>
      <c r="D41" s="9"/>
      <c r="E41" s="9">
        <f t="shared" si="19"/>
        <v>12</v>
      </c>
      <c r="F41" s="110"/>
      <c r="G41" s="110">
        <f t="shared" si="20"/>
        <v>8</v>
      </c>
      <c r="H41" s="110"/>
      <c r="I41" s="110">
        <f t="shared" si="21"/>
        <v>2</v>
      </c>
      <c r="J41" s="110"/>
      <c r="K41" s="110">
        <f t="shared" si="22"/>
        <v>0</v>
      </c>
      <c r="L41" s="110"/>
      <c r="M41" s="110">
        <f t="shared" si="23"/>
        <v>0</v>
      </c>
      <c r="N41" s="1"/>
      <c r="O41" s="1"/>
      <c r="P41" s="9"/>
      <c r="Q41" s="9"/>
      <c r="R41" s="1"/>
      <c r="S41" s="1"/>
      <c r="T41" s="1"/>
      <c r="U41" s="5"/>
      <c r="V41" s="154"/>
      <c r="W41" s="5"/>
      <c r="X41" s="5"/>
      <c r="Y41" s="1"/>
      <c r="Z41" s="1"/>
      <c r="AA41" s="1"/>
      <c r="AB41" s="1"/>
      <c r="AC41" s="1"/>
      <c r="AD41" s="1"/>
    </row>
    <row r="42">
      <c r="A42" s="1"/>
      <c r="B42" s="110"/>
      <c r="C42" s="9">
        <f t="shared" si="18"/>
        <v>0</v>
      </c>
      <c r="D42" s="9"/>
      <c r="E42" s="9">
        <f t="shared" si="19"/>
        <v>0</v>
      </c>
      <c r="F42" s="110"/>
      <c r="G42" s="110">
        <f t="shared" si="20"/>
        <v>0</v>
      </c>
      <c r="H42" s="110"/>
      <c r="I42" s="110">
        <f t="shared" si="21"/>
        <v>0</v>
      </c>
      <c r="J42" s="110"/>
      <c r="K42" s="110">
        <f t="shared" si="22"/>
        <v>0</v>
      </c>
      <c r="L42" s="110"/>
      <c r="M42" s="110">
        <f t="shared" si="23"/>
        <v>0</v>
      </c>
      <c r="N42" s="1"/>
      <c r="O42" s="1"/>
      <c r="P42" s="9"/>
      <c r="Q42" s="9"/>
      <c r="R42" s="1"/>
      <c r="S42" s="1"/>
      <c r="T42" s="1"/>
      <c r="U42" s="5"/>
      <c r="V42" s="5"/>
      <c r="W42" s="5"/>
      <c r="X42" s="5"/>
      <c r="Y42" s="1"/>
      <c r="Z42" s="1"/>
      <c r="AA42" s="1"/>
      <c r="AB42" s="1"/>
      <c r="AC42" s="1"/>
      <c r="AD42" s="1"/>
    </row>
    <row r="43">
      <c r="A43" s="1"/>
      <c r="B43" s="110"/>
      <c r="C43" s="9">
        <f t="shared" si="18"/>
        <v>0</v>
      </c>
      <c r="D43" s="9"/>
      <c r="E43" s="9">
        <f t="shared" si="19"/>
        <v>6</v>
      </c>
      <c r="F43" s="110"/>
      <c r="G43" s="110">
        <f t="shared" si="20"/>
        <v>3</v>
      </c>
      <c r="H43" s="110"/>
      <c r="I43" s="110">
        <f t="shared" si="21"/>
        <v>5</v>
      </c>
      <c r="J43" s="110"/>
      <c r="K43" s="110">
        <f t="shared" si="22"/>
        <v>0</v>
      </c>
      <c r="L43" s="110"/>
      <c r="M43" s="110">
        <f t="shared" si="23"/>
        <v>0</v>
      </c>
      <c r="N43" s="1"/>
      <c r="O43" s="1"/>
      <c r="P43" s="9"/>
      <c r="Q43" s="9"/>
      <c r="R43" s="1"/>
      <c r="S43" s="1"/>
      <c r="T43" s="1"/>
      <c r="U43" s="5"/>
      <c r="V43" s="5"/>
      <c r="W43" s="5"/>
      <c r="X43" s="5"/>
      <c r="Y43" s="1"/>
      <c r="Z43" s="1"/>
      <c r="AA43" s="1"/>
      <c r="AB43" s="1"/>
      <c r="AC43" s="1"/>
      <c r="AD43" s="1"/>
    </row>
    <row r="44">
      <c r="A44" s="1"/>
      <c r="B44" s="110"/>
      <c r="C44" s="110">
        <f t="shared" si="18"/>
        <v>9</v>
      </c>
      <c r="D44" s="110"/>
      <c r="E44" s="110">
        <f t="shared" si="19"/>
        <v>0</v>
      </c>
      <c r="F44" s="110"/>
      <c r="G44" s="110">
        <f t="shared" si="20"/>
        <v>12</v>
      </c>
      <c r="H44" s="110"/>
      <c r="I44" s="110">
        <f t="shared" si="21"/>
        <v>0</v>
      </c>
      <c r="J44" s="110"/>
      <c r="K44" s="110">
        <f t="shared" si="22"/>
        <v>0</v>
      </c>
      <c r="L44" s="110"/>
      <c r="M44" s="110">
        <f t="shared" si="23"/>
        <v>0</v>
      </c>
      <c r="N44" s="1"/>
      <c r="O44" s="1"/>
      <c r="P44" s="1"/>
      <c r="Q44" s="1"/>
      <c r="R44" s="1"/>
      <c r="S44" s="1"/>
      <c r="T44" s="1"/>
      <c r="U44" s="5"/>
      <c r="V44" s="95"/>
      <c r="W44" s="5"/>
      <c r="X44" s="5"/>
      <c r="Y44" s="1"/>
      <c r="Z44" s="1"/>
      <c r="AA44" s="1"/>
      <c r="AB44" s="1"/>
      <c r="AC44" s="1"/>
      <c r="AD44" s="1"/>
    </row>
    <row r="45">
      <c r="A45" s="1"/>
      <c r="B45" s="110"/>
      <c r="C45" s="110">
        <f t="shared" si="18"/>
        <v>6</v>
      </c>
      <c r="D45" s="110"/>
      <c r="E45" s="110">
        <f t="shared" si="19"/>
        <v>7</v>
      </c>
      <c r="F45" s="110"/>
      <c r="G45" s="110">
        <f t="shared" si="20"/>
        <v>5</v>
      </c>
      <c r="H45" s="110"/>
      <c r="I45" s="110">
        <f t="shared" si="21"/>
        <v>3</v>
      </c>
      <c r="J45" s="110"/>
      <c r="K45" s="110">
        <f t="shared" si="22"/>
        <v>0</v>
      </c>
      <c r="L45" s="110"/>
      <c r="M45" s="110">
        <f t="shared" si="23"/>
        <v>0</v>
      </c>
      <c r="N45" s="1"/>
      <c r="O45" s="1"/>
      <c r="P45" s="1"/>
      <c r="Q45" s="1"/>
      <c r="R45" s="1"/>
      <c r="S45" s="1"/>
      <c r="T45" s="1"/>
      <c r="U45" s="5"/>
      <c r="V45" s="13"/>
      <c r="W45" s="5"/>
      <c r="X45" s="5"/>
      <c r="Y45" s="1"/>
      <c r="Z45" s="1"/>
      <c r="AA45" s="1"/>
      <c r="AB45" s="1"/>
      <c r="AC45" s="1"/>
      <c r="AD45" s="1"/>
    </row>
    <row r="46">
      <c r="A46" s="1"/>
      <c r="B46" s="9" t="s">
        <v>28</v>
      </c>
      <c r="C46" s="110">
        <f t="shared" ref="C46:C57" si="24">COUNTIF(D4,"=12")</f>
        <v>1</v>
      </c>
      <c r="D46" s="110"/>
      <c r="E46" s="110">
        <f t="shared" ref="E46:E57" si="25">COUNTIF(J4,"=12")</f>
        <v>1</v>
      </c>
      <c r="F46" s="110"/>
      <c r="G46" s="110">
        <f t="shared" ref="G46:G58" si="26">COUNTIF(P4,"=12")</f>
        <v>0</v>
      </c>
      <c r="H46" s="110"/>
      <c r="I46" s="110">
        <f t="shared" ref="I46:I57" si="27">COUNTIF(W4,"=12")</f>
        <v>0</v>
      </c>
      <c r="J46" s="110"/>
      <c r="K46" s="110">
        <f t="shared" ref="K46:K57" si="28">COUNTIF(D19,"=12")</f>
        <v>0</v>
      </c>
      <c r="L46" s="110"/>
      <c r="M46" s="110">
        <f t="shared" ref="M46:M57" si="29">COUNTIF(J19,"=12")</f>
        <v>0</v>
      </c>
      <c r="N46" s="1"/>
      <c r="O46" s="1"/>
      <c r="P46" s="1"/>
      <c r="Q46" s="1"/>
      <c r="R46" s="1"/>
      <c r="S46" s="1"/>
      <c r="T46" s="1"/>
      <c r="U46" s="1"/>
      <c r="V46" s="16"/>
      <c r="W46" s="5"/>
      <c r="X46" s="154"/>
      <c r="Y46" s="1"/>
      <c r="Z46" s="1"/>
      <c r="AA46" s="1"/>
      <c r="AB46" s="1"/>
      <c r="AC46" s="1"/>
      <c r="AD46" s="1"/>
    </row>
    <row r="47">
      <c r="A47" s="1"/>
      <c r="B47" s="110"/>
      <c r="C47" s="110">
        <f t="shared" si="24"/>
        <v>0</v>
      </c>
      <c r="D47" s="110"/>
      <c r="E47" s="110">
        <f t="shared" si="25"/>
        <v>0</v>
      </c>
      <c r="F47" s="110"/>
      <c r="G47" s="110">
        <f t="shared" si="26"/>
        <v>0</v>
      </c>
      <c r="H47" s="110"/>
      <c r="I47" s="110">
        <f t="shared" si="27"/>
        <v>1</v>
      </c>
      <c r="J47" s="110"/>
      <c r="K47" s="110">
        <f t="shared" si="28"/>
        <v>0</v>
      </c>
      <c r="L47" s="110"/>
      <c r="M47" s="110">
        <f t="shared" si="29"/>
        <v>0</v>
      </c>
      <c r="N47" s="1"/>
      <c r="O47" s="1"/>
      <c r="P47" s="1"/>
      <c r="Q47" s="1"/>
      <c r="R47" s="1"/>
      <c r="S47" s="1"/>
      <c r="T47" s="1"/>
      <c r="U47" s="1"/>
      <c r="V47" s="16"/>
      <c r="W47" s="5"/>
      <c r="X47" s="5"/>
      <c r="Y47" s="1"/>
      <c r="Z47" s="1"/>
      <c r="AA47" s="1"/>
      <c r="AB47" s="1"/>
      <c r="AC47" s="1"/>
      <c r="AD47" s="1"/>
    </row>
    <row r="48">
      <c r="A48" s="1"/>
      <c r="B48" s="110"/>
      <c r="C48" s="110">
        <f t="shared" si="24"/>
        <v>0</v>
      </c>
      <c r="D48" s="110"/>
      <c r="E48" s="110">
        <f t="shared" si="25"/>
        <v>0</v>
      </c>
      <c r="F48" s="110"/>
      <c r="G48" s="110">
        <f t="shared" si="26"/>
        <v>0</v>
      </c>
      <c r="H48" s="110"/>
      <c r="I48" s="110">
        <f t="shared" si="27"/>
        <v>0</v>
      </c>
      <c r="J48" s="110"/>
      <c r="K48" s="110">
        <f t="shared" si="28"/>
        <v>0</v>
      </c>
      <c r="L48" s="110"/>
      <c r="M48" s="110">
        <f t="shared" si="29"/>
        <v>0</v>
      </c>
      <c r="N48" s="1"/>
      <c r="O48" s="1"/>
      <c r="P48" s="1"/>
      <c r="Q48" s="1"/>
      <c r="R48" s="1"/>
      <c r="S48" s="1"/>
      <c r="T48" s="1"/>
      <c r="U48" s="1"/>
      <c r="V48" s="16"/>
      <c r="W48" s="5"/>
      <c r="X48" s="5"/>
      <c r="Y48" s="1"/>
      <c r="Z48" s="1"/>
      <c r="AA48" s="1"/>
      <c r="AB48" s="1"/>
      <c r="AC48" s="1"/>
      <c r="AD48" s="1"/>
    </row>
    <row r="49">
      <c r="A49" s="1"/>
      <c r="B49" s="110"/>
      <c r="C49" s="110">
        <f t="shared" si="24"/>
        <v>0</v>
      </c>
      <c r="D49" s="110"/>
      <c r="E49" s="110">
        <f t="shared" si="25"/>
        <v>0</v>
      </c>
      <c r="F49" s="110"/>
      <c r="G49" s="110">
        <f t="shared" si="26"/>
        <v>0</v>
      </c>
      <c r="H49" s="110"/>
      <c r="I49" s="110">
        <f t="shared" si="27"/>
        <v>0</v>
      </c>
      <c r="J49" s="110"/>
      <c r="K49" s="110">
        <f t="shared" si="28"/>
        <v>0</v>
      </c>
      <c r="L49" s="110"/>
      <c r="M49" s="110">
        <f t="shared" si="29"/>
        <v>0</v>
      </c>
      <c r="N49" s="1"/>
      <c r="O49" s="1"/>
      <c r="P49" s="1"/>
      <c r="Q49" s="1"/>
      <c r="R49" s="1"/>
      <c r="S49" s="1"/>
      <c r="T49" s="1"/>
      <c r="U49" s="1"/>
      <c r="V49" s="16"/>
      <c r="W49" s="5"/>
      <c r="X49" s="95"/>
      <c r="Y49" s="1"/>
      <c r="Z49" s="1"/>
      <c r="AA49" s="1"/>
      <c r="AB49" s="1"/>
      <c r="AC49" s="1"/>
      <c r="AD49" s="1"/>
    </row>
    <row r="50">
      <c r="A50" s="1"/>
      <c r="B50" s="110"/>
      <c r="C50" s="110">
        <f t="shared" si="24"/>
        <v>0</v>
      </c>
      <c r="D50" s="110"/>
      <c r="E50" s="110">
        <f t="shared" si="25"/>
        <v>0</v>
      </c>
      <c r="F50" s="110"/>
      <c r="G50" s="110">
        <f t="shared" si="26"/>
        <v>0</v>
      </c>
      <c r="H50" s="110"/>
      <c r="I50" s="110">
        <f t="shared" si="27"/>
        <v>0</v>
      </c>
      <c r="J50" s="110"/>
      <c r="K50" s="110">
        <f t="shared" si="28"/>
        <v>0</v>
      </c>
      <c r="L50" s="110"/>
      <c r="M50" s="110">
        <f t="shared" si="29"/>
        <v>0</v>
      </c>
      <c r="N50" s="1"/>
      <c r="O50" s="1"/>
      <c r="P50" s="1"/>
      <c r="Q50" s="1"/>
      <c r="R50" s="1"/>
      <c r="S50" s="1"/>
      <c r="T50" s="1"/>
      <c r="U50" s="1"/>
      <c r="V50" s="16"/>
      <c r="W50" s="5"/>
      <c r="X50" s="13"/>
      <c r="Y50" s="1"/>
      <c r="Z50" s="1"/>
      <c r="AA50" s="1"/>
      <c r="AB50" s="1"/>
      <c r="AC50" s="1"/>
      <c r="AD50" s="1"/>
    </row>
    <row r="51">
      <c r="A51" s="1"/>
      <c r="B51" s="110"/>
      <c r="C51" s="110">
        <f t="shared" si="24"/>
        <v>0</v>
      </c>
      <c r="D51" s="110"/>
      <c r="E51" s="110">
        <f t="shared" si="25"/>
        <v>0</v>
      </c>
      <c r="F51" s="110"/>
      <c r="G51" s="110">
        <f t="shared" si="26"/>
        <v>0</v>
      </c>
      <c r="H51" s="110"/>
      <c r="I51" s="110">
        <f t="shared" si="27"/>
        <v>0</v>
      </c>
      <c r="J51" s="110"/>
      <c r="K51" s="110">
        <f t="shared" si="28"/>
        <v>0</v>
      </c>
      <c r="L51" s="110"/>
      <c r="M51" s="110">
        <f t="shared" si="29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110"/>
      <c r="C52" s="110">
        <f t="shared" si="24"/>
        <v>0</v>
      </c>
      <c r="D52" s="110"/>
      <c r="E52" s="110">
        <f t="shared" si="25"/>
        <v>0</v>
      </c>
      <c r="F52" s="110"/>
      <c r="G52" s="110">
        <f t="shared" si="26"/>
        <v>1</v>
      </c>
      <c r="H52" s="110"/>
      <c r="I52" s="110">
        <f t="shared" si="27"/>
        <v>0</v>
      </c>
      <c r="J52" s="110"/>
      <c r="K52" s="110">
        <f t="shared" si="28"/>
        <v>0</v>
      </c>
      <c r="L52" s="110"/>
      <c r="M52" s="110">
        <f t="shared" si="29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110"/>
      <c r="C53" s="110">
        <f t="shared" si="24"/>
        <v>0</v>
      </c>
      <c r="D53" s="110"/>
      <c r="E53" s="110">
        <f t="shared" si="25"/>
        <v>0</v>
      </c>
      <c r="F53" s="110"/>
      <c r="G53" s="110">
        <f t="shared" si="26"/>
        <v>0</v>
      </c>
      <c r="H53" s="110"/>
      <c r="I53" s="110">
        <f t="shared" si="27"/>
        <v>0</v>
      </c>
      <c r="J53" s="110"/>
      <c r="K53" s="110">
        <f t="shared" si="28"/>
        <v>0</v>
      </c>
      <c r="L53" s="110"/>
      <c r="M53" s="110">
        <f t="shared" si="29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/>
      <c r="B54" s="110"/>
      <c r="C54" s="110">
        <f t="shared" si="24"/>
        <v>0</v>
      </c>
      <c r="D54" s="110"/>
      <c r="E54" s="110">
        <f t="shared" si="25"/>
        <v>0</v>
      </c>
      <c r="F54" s="110"/>
      <c r="G54" s="110">
        <f t="shared" si="26"/>
        <v>0</v>
      </c>
      <c r="H54" s="110"/>
      <c r="I54" s="110">
        <f t="shared" si="27"/>
        <v>0</v>
      </c>
      <c r="J54" s="110"/>
      <c r="K54" s="110">
        <f t="shared" si="28"/>
        <v>0</v>
      </c>
      <c r="L54" s="110"/>
      <c r="M54" s="110">
        <f t="shared" si="29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"/>
      <c r="B55" s="110"/>
      <c r="C55" s="110">
        <f t="shared" si="24"/>
        <v>0</v>
      </c>
      <c r="D55" s="110"/>
      <c r="E55" s="110">
        <f t="shared" si="25"/>
        <v>0</v>
      </c>
      <c r="F55" s="110"/>
      <c r="G55" s="110">
        <f t="shared" si="26"/>
        <v>0</v>
      </c>
      <c r="H55" s="110"/>
      <c r="I55" s="110">
        <f t="shared" si="27"/>
        <v>0</v>
      </c>
      <c r="J55" s="110"/>
      <c r="K55" s="110">
        <f t="shared" si="28"/>
        <v>0</v>
      </c>
      <c r="L55" s="110"/>
      <c r="M55" s="110">
        <f t="shared" si="29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/>
      <c r="B56" s="110"/>
      <c r="C56" s="110">
        <f t="shared" si="24"/>
        <v>0</v>
      </c>
      <c r="D56" s="110"/>
      <c r="E56" s="110">
        <f t="shared" si="25"/>
        <v>0</v>
      </c>
      <c r="F56" s="110"/>
      <c r="G56" s="110">
        <f t="shared" si="26"/>
        <v>0</v>
      </c>
      <c r="H56" s="110"/>
      <c r="I56" s="110">
        <f t="shared" si="27"/>
        <v>0</v>
      </c>
      <c r="J56" s="110"/>
      <c r="K56" s="110">
        <f t="shared" si="28"/>
        <v>0</v>
      </c>
      <c r="L56" s="110"/>
      <c r="M56" s="110">
        <f t="shared" si="29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110"/>
      <c r="C57" s="110">
        <f t="shared" si="24"/>
        <v>0</v>
      </c>
      <c r="D57" s="110"/>
      <c r="E57" s="110">
        <f t="shared" si="25"/>
        <v>0</v>
      </c>
      <c r="F57" s="110"/>
      <c r="G57" s="110">
        <f t="shared" si="26"/>
        <v>0</v>
      </c>
      <c r="H57" s="110"/>
      <c r="I57" s="110">
        <f t="shared" si="27"/>
        <v>0</v>
      </c>
      <c r="J57" s="110"/>
      <c r="K57" s="110">
        <f t="shared" si="28"/>
        <v>0</v>
      </c>
      <c r="L57" s="110"/>
      <c r="M57" s="110">
        <f t="shared" si="29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/>
      <c r="B58" s="1"/>
      <c r="C58" s="1"/>
      <c r="D58" s="1"/>
      <c r="E58" s="1"/>
      <c r="F58" s="1"/>
      <c r="G58" s="1">
        <f t="shared" si="26"/>
        <v>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</sheetData>
  <mergeCells count="12">
    <mergeCell ref="N17:T17"/>
    <mergeCell ref="U17:U31"/>
    <mergeCell ref="AC17:AC30"/>
    <mergeCell ref="V31:AC31"/>
    <mergeCell ref="B2:F2"/>
    <mergeCell ref="H2:L2"/>
    <mergeCell ref="N2:R2"/>
    <mergeCell ref="U2:Y2"/>
    <mergeCell ref="U16:AC16"/>
    <mergeCell ref="B17:F17"/>
    <mergeCell ref="H17:L17"/>
    <mergeCell ref="V17:AB17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3.25"/>
    <col customWidth="1" min="3" max="3" width="10.88"/>
    <col customWidth="1" min="4" max="4" width="6.38"/>
    <col customWidth="1" min="5" max="5" width="5.88"/>
    <col customWidth="1" min="6" max="6" width="6.13"/>
    <col customWidth="1" min="7" max="7" width="7.63"/>
    <col customWidth="1" min="8" max="8" width="3.25"/>
    <col customWidth="1" min="9" max="9" width="10.0"/>
    <col customWidth="1" min="10" max="10" width="6.88"/>
    <col customWidth="1" min="11" max="11" width="5.88"/>
    <col customWidth="1" min="12" max="12" width="6.0"/>
    <col customWidth="1" min="13" max="13" width="5.88"/>
    <col customWidth="1" min="14" max="14" width="3.75"/>
    <col customWidth="1" min="15" max="15" width="13.25"/>
    <col customWidth="1" min="16" max="16" width="6.88"/>
    <col customWidth="1" min="17" max="17" width="7.5"/>
    <col customWidth="1" min="18" max="18" width="5.63"/>
    <col customWidth="1" min="19" max="19" width="6.63"/>
    <col customWidth="1" min="20" max="20" width="5.25"/>
    <col customWidth="1" min="21" max="21" width="3.25"/>
    <col customWidth="1" min="22" max="22" width="10.5"/>
    <col customWidth="1" min="23" max="23" width="11.75"/>
    <col customWidth="1" min="24" max="25" width="6.88"/>
    <col customWidth="1" min="26" max="26" width="5.75"/>
    <col customWidth="1" min="27" max="27" width="5.88"/>
    <col customWidth="1" min="28" max="28" width="5.75"/>
    <col customWidth="1" min="29" max="29" width="4.25"/>
    <col customWidth="1" min="30" max="30" width="10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2" t="s">
        <v>0</v>
      </c>
      <c r="C2" s="3"/>
      <c r="D2" s="3"/>
      <c r="E2" s="3"/>
      <c r="F2" s="4"/>
      <c r="G2" s="1"/>
      <c r="H2" s="2" t="s">
        <v>1</v>
      </c>
      <c r="I2" s="3"/>
      <c r="J2" s="3"/>
      <c r="K2" s="3"/>
      <c r="L2" s="4"/>
      <c r="M2" s="1"/>
      <c r="N2" s="2" t="s">
        <v>2</v>
      </c>
      <c r="O2" s="3"/>
      <c r="P2" s="3"/>
      <c r="Q2" s="3"/>
      <c r="R2" s="4"/>
      <c r="S2" s="5"/>
      <c r="T2" s="1"/>
      <c r="U2" s="2" t="s">
        <v>3</v>
      </c>
      <c r="V2" s="3"/>
      <c r="W2" s="3"/>
      <c r="X2" s="3"/>
      <c r="Y2" s="4"/>
      <c r="Z2" s="5"/>
      <c r="AB2" s="5"/>
      <c r="AC2" s="1"/>
      <c r="AD2" s="1"/>
    </row>
    <row r="3">
      <c r="A3" s="1"/>
      <c r="B3" s="6" t="s">
        <v>4</v>
      </c>
      <c r="C3" s="7" t="s">
        <v>5</v>
      </c>
      <c r="D3" s="6" t="s">
        <v>6</v>
      </c>
      <c r="E3" s="6" t="s">
        <v>7</v>
      </c>
      <c r="F3" s="6" t="s">
        <v>8</v>
      </c>
      <c r="G3" s="1"/>
      <c r="H3" s="6" t="s">
        <v>4</v>
      </c>
      <c r="I3" s="8" t="s">
        <v>5</v>
      </c>
      <c r="J3" s="6" t="s">
        <v>6</v>
      </c>
      <c r="K3" s="6" t="s">
        <v>7</v>
      </c>
      <c r="L3" s="6" t="s">
        <v>8</v>
      </c>
      <c r="M3" s="1"/>
      <c r="N3" s="6" t="s">
        <v>4</v>
      </c>
      <c r="O3" s="8" t="s">
        <v>5</v>
      </c>
      <c r="P3" s="6" t="s">
        <v>6</v>
      </c>
      <c r="Q3" s="6" t="s">
        <v>7</v>
      </c>
      <c r="R3" s="6" t="s">
        <v>8</v>
      </c>
      <c r="S3" s="9"/>
      <c r="T3" s="1"/>
      <c r="U3" s="6" t="s">
        <v>4</v>
      </c>
      <c r="V3" s="8" t="s">
        <v>5</v>
      </c>
      <c r="W3" s="6" t="s">
        <v>6</v>
      </c>
      <c r="X3" s="6" t="s">
        <v>7</v>
      </c>
      <c r="Y3" s="6" t="s">
        <v>8</v>
      </c>
      <c r="AB3" s="1"/>
      <c r="AC3" s="1"/>
      <c r="AD3" s="1"/>
    </row>
    <row r="4">
      <c r="A4" s="1"/>
      <c r="B4" s="10">
        <f t="array" ref="B4:B15">SEQUENCE(12,1)</f>
        <v>1</v>
      </c>
      <c r="C4" s="11" t="s">
        <v>293</v>
      </c>
      <c r="D4" s="12">
        <v>12.0</v>
      </c>
      <c r="E4" s="95">
        <v>19.0</v>
      </c>
      <c r="F4" s="14">
        <f t="shared" ref="F4:F14" si="1">D4+E4</f>
        <v>31</v>
      </c>
      <c r="G4" s="1"/>
      <c r="H4" s="10">
        <f t="array" ref="H4:H15">SEQUENCE(12,1)</f>
        <v>1</v>
      </c>
      <c r="I4" s="15" t="str">
        <f t="shared" ref="I4:I15" si="2">C4</f>
        <v>ms</v>
      </c>
      <c r="J4" s="12">
        <v>12.0</v>
      </c>
      <c r="K4" s="12">
        <v>14.0</v>
      </c>
      <c r="L4" s="14">
        <f t="shared" ref="L4:L14" si="3">J4+K4</f>
        <v>26</v>
      </c>
      <c r="M4" s="1"/>
      <c r="N4" s="10">
        <f t="array" ref="N4:N15">SEQUENCE(12,1)</f>
        <v>1</v>
      </c>
      <c r="O4" s="15" t="str">
        <f t="shared" ref="O4:O15" si="4">C4</f>
        <v>ms</v>
      </c>
      <c r="P4" s="12">
        <v>8.0</v>
      </c>
      <c r="Q4" s="12">
        <v>4.0</v>
      </c>
      <c r="R4" s="14">
        <f t="shared" ref="R4:R15" si="5">P4+Q4</f>
        <v>12</v>
      </c>
      <c r="S4" s="16"/>
      <c r="T4" s="1"/>
      <c r="U4" s="10">
        <f t="array" ref="U4:U15">SEQUENCE(12,1)</f>
        <v>1</v>
      </c>
      <c r="V4" s="15" t="str">
        <f t="shared" ref="V4:V15" si="6">C4</f>
        <v>ms</v>
      </c>
      <c r="W4" s="12">
        <v>9.0</v>
      </c>
      <c r="X4" s="12">
        <v>24.0</v>
      </c>
      <c r="Y4" s="14">
        <f t="shared" ref="Y4:Y15" si="7">W4+X4</f>
        <v>33</v>
      </c>
      <c r="AB4" s="1"/>
      <c r="AC4" s="1"/>
      <c r="AD4" s="1"/>
    </row>
    <row r="5">
      <c r="A5" s="1"/>
      <c r="B5" s="17">
        <v>2.0</v>
      </c>
      <c r="C5" s="18" t="s">
        <v>294</v>
      </c>
      <c r="D5" s="19">
        <v>2.0</v>
      </c>
      <c r="E5" s="19">
        <v>7.0</v>
      </c>
      <c r="F5" s="20">
        <f t="shared" si="1"/>
        <v>9</v>
      </c>
      <c r="G5" s="1"/>
      <c r="H5" s="17">
        <v>2.0</v>
      </c>
      <c r="I5" s="21" t="str">
        <f t="shared" si="2"/>
        <v>SNS</v>
      </c>
      <c r="J5" s="19">
        <v>5.0</v>
      </c>
      <c r="K5" s="19">
        <v>9.0</v>
      </c>
      <c r="L5" s="22">
        <f t="shared" si="3"/>
        <v>14</v>
      </c>
      <c r="M5" s="1"/>
      <c r="N5" s="17">
        <v>2.0</v>
      </c>
      <c r="O5" s="15" t="str">
        <f t="shared" si="4"/>
        <v>SNS</v>
      </c>
      <c r="P5" s="19">
        <v>9.0</v>
      </c>
      <c r="Q5" s="19">
        <v>29.0</v>
      </c>
      <c r="R5" s="22">
        <f t="shared" si="5"/>
        <v>38</v>
      </c>
      <c r="S5" s="16"/>
      <c r="T5" s="1"/>
      <c r="U5" s="17">
        <v>2.0</v>
      </c>
      <c r="V5" s="15" t="str">
        <f t="shared" si="6"/>
        <v>SNS</v>
      </c>
      <c r="W5" s="19">
        <v>8.0</v>
      </c>
      <c r="X5" s="19">
        <v>3.0</v>
      </c>
      <c r="Y5" s="14">
        <f t="shared" si="7"/>
        <v>11</v>
      </c>
      <c r="AB5" s="1"/>
      <c r="AC5" s="1"/>
      <c r="AD5" s="1"/>
    </row>
    <row r="6">
      <c r="A6" s="1"/>
      <c r="B6" s="17">
        <v>3.0</v>
      </c>
      <c r="C6" s="18" t="s">
        <v>295</v>
      </c>
      <c r="D6" s="19">
        <v>7.0</v>
      </c>
      <c r="E6" s="19">
        <v>7.0</v>
      </c>
      <c r="F6" s="20">
        <f t="shared" si="1"/>
        <v>14</v>
      </c>
      <c r="G6" s="1"/>
      <c r="H6" s="17">
        <v>3.0</v>
      </c>
      <c r="I6" s="21" t="str">
        <f t="shared" si="2"/>
        <v>ISG</v>
      </c>
      <c r="J6" s="19">
        <v>0.0</v>
      </c>
      <c r="K6" s="19">
        <v>1.0</v>
      </c>
      <c r="L6" s="22">
        <f t="shared" si="3"/>
        <v>1</v>
      </c>
      <c r="M6" s="1"/>
      <c r="N6" s="17">
        <v>3.0</v>
      </c>
      <c r="O6" s="15" t="str">
        <f t="shared" si="4"/>
        <v>ISG</v>
      </c>
      <c r="P6" s="19">
        <v>12.0</v>
      </c>
      <c r="Q6" s="19">
        <v>9.0</v>
      </c>
      <c r="R6" s="22">
        <f t="shared" si="5"/>
        <v>21</v>
      </c>
      <c r="S6" s="16"/>
      <c r="T6" s="1"/>
      <c r="U6" s="17">
        <v>3.0</v>
      </c>
      <c r="V6" s="15" t="str">
        <f t="shared" si="6"/>
        <v>ISG</v>
      </c>
      <c r="W6" s="19">
        <v>6.0</v>
      </c>
      <c r="X6" s="19">
        <v>5.0</v>
      </c>
      <c r="Y6" s="14">
        <f t="shared" si="7"/>
        <v>11</v>
      </c>
      <c r="AB6" s="1"/>
      <c r="AC6" s="1"/>
      <c r="AD6" s="1"/>
    </row>
    <row r="7">
      <c r="A7" s="1"/>
      <c r="B7" s="17">
        <v>4.0</v>
      </c>
      <c r="C7" s="13" t="s">
        <v>296</v>
      </c>
      <c r="D7" s="19">
        <v>0.0</v>
      </c>
      <c r="E7" s="19">
        <v>0.0</v>
      </c>
      <c r="F7" s="22">
        <f t="shared" si="1"/>
        <v>0</v>
      </c>
      <c r="G7" s="1"/>
      <c r="H7" s="17">
        <v>4.0</v>
      </c>
      <c r="I7" s="21" t="str">
        <f t="shared" si="2"/>
        <v>HWK</v>
      </c>
      <c r="J7" s="19">
        <v>0.0</v>
      </c>
      <c r="K7" s="19">
        <v>0.0</v>
      </c>
      <c r="L7" s="22">
        <f t="shared" si="3"/>
        <v>0</v>
      </c>
      <c r="M7" s="1"/>
      <c r="N7" s="17">
        <v>4.0</v>
      </c>
      <c r="O7" s="15" t="str">
        <f t="shared" si="4"/>
        <v>HWK</v>
      </c>
      <c r="P7" s="19">
        <v>1.0</v>
      </c>
      <c r="Q7" s="19">
        <v>3.0</v>
      </c>
      <c r="R7" s="22">
        <f t="shared" si="5"/>
        <v>4</v>
      </c>
      <c r="S7" s="16"/>
      <c r="T7" s="1"/>
      <c r="U7" s="17">
        <v>4.0</v>
      </c>
      <c r="V7" s="15" t="str">
        <f t="shared" si="6"/>
        <v>HWK</v>
      </c>
      <c r="W7" s="19">
        <v>0.0</v>
      </c>
      <c r="X7" s="19">
        <v>0.0</v>
      </c>
      <c r="Y7" s="14">
        <f t="shared" si="7"/>
        <v>0</v>
      </c>
      <c r="AB7" s="1"/>
      <c r="AC7" s="1"/>
      <c r="AD7" s="23"/>
    </row>
    <row r="8">
      <c r="A8" s="1"/>
      <c r="B8" s="17">
        <v>5.0</v>
      </c>
      <c r="C8" s="18" t="s">
        <v>297</v>
      </c>
      <c r="D8" s="19">
        <v>6.0</v>
      </c>
      <c r="E8" s="19">
        <v>16.0</v>
      </c>
      <c r="F8" s="22">
        <f t="shared" si="1"/>
        <v>22</v>
      </c>
      <c r="G8" s="1"/>
      <c r="H8" s="17">
        <v>5.0</v>
      </c>
      <c r="I8" s="21" t="str">
        <f t="shared" si="2"/>
        <v>LXP</v>
      </c>
      <c r="J8" s="19">
        <v>4.0</v>
      </c>
      <c r="K8" s="19">
        <v>5.0</v>
      </c>
      <c r="L8" s="22">
        <f t="shared" si="3"/>
        <v>9</v>
      </c>
      <c r="M8" s="1"/>
      <c r="N8" s="17">
        <v>5.0</v>
      </c>
      <c r="O8" s="15" t="str">
        <f t="shared" si="4"/>
        <v>LXP</v>
      </c>
      <c r="P8" s="19">
        <v>7.0</v>
      </c>
      <c r="Q8" s="19">
        <v>13.0</v>
      </c>
      <c r="R8" s="22">
        <f t="shared" si="5"/>
        <v>20</v>
      </c>
      <c r="S8" s="16"/>
      <c r="T8" s="1"/>
      <c r="U8" s="17">
        <v>5.0</v>
      </c>
      <c r="V8" s="15" t="str">
        <f t="shared" si="6"/>
        <v>LXP</v>
      </c>
      <c r="W8" s="19">
        <v>4.0</v>
      </c>
      <c r="X8" s="19">
        <v>7.0</v>
      </c>
      <c r="Y8" s="14">
        <f t="shared" si="7"/>
        <v>11</v>
      </c>
      <c r="AB8" s="1"/>
      <c r="AC8" s="1"/>
      <c r="AD8" s="1"/>
    </row>
    <row r="9">
      <c r="A9" s="1"/>
      <c r="B9" s="17">
        <v>6.0</v>
      </c>
      <c r="C9" s="18" t="s">
        <v>298</v>
      </c>
      <c r="D9" s="19">
        <v>1.0</v>
      </c>
      <c r="E9" s="19">
        <v>3.0</v>
      </c>
      <c r="F9" s="22">
        <f t="shared" si="1"/>
        <v>4</v>
      </c>
      <c r="G9" s="1"/>
      <c r="H9" s="17">
        <v>6.0</v>
      </c>
      <c r="I9" s="21" t="str">
        <f t="shared" si="2"/>
        <v>kishu</v>
      </c>
      <c r="J9" s="19">
        <v>9.0</v>
      </c>
      <c r="K9" s="19">
        <v>20.0</v>
      </c>
      <c r="L9" s="22">
        <f t="shared" si="3"/>
        <v>29</v>
      </c>
      <c r="M9" s="1"/>
      <c r="N9" s="17">
        <v>6.0</v>
      </c>
      <c r="O9" s="15" t="str">
        <f t="shared" si="4"/>
        <v>kishu</v>
      </c>
      <c r="P9" s="19">
        <v>5.0</v>
      </c>
      <c r="Q9" s="19">
        <v>6.0</v>
      </c>
      <c r="R9" s="22">
        <f t="shared" si="5"/>
        <v>11</v>
      </c>
      <c r="S9" s="16"/>
      <c r="T9" s="1"/>
      <c r="U9" s="17">
        <v>6.0</v>
      </c>
      <c r="V9" s="15" t="str">
        <f t="shared" si="6"/>
        <v>kishu</v>
      </c>
      <c r="W9" s="19">
        <v>12.0</v>
      </c>
      <c r="X9" s="19">
        <v>24.0</v>
      </c>
      <c r="Y9" s="14">
        <f t="shared" si="7"/>
        <v>36</v>
      </c>
      <c r="AB9" s="1"/>
      <c r="AC9" s="1"/>
      <c r="AD9" s="1"/>
    </row>
    <row r="10">
      <c r="A10" s="1"/>
      <c r="B10" s="17">
        <v>7.0</v>
      </c>
      <c r="C10" s="18" t="s">
        <v>299</v>
      </c>
      <c r="D10" s="19">
        <v>3.0</v>
      </c>
      <c r="E10" s="19">
        <v>4.0</v>
      </c>
      <c r="F10" s="22">
        <f t="shared" si="1"/>
        <v>7</v>
      </c>
      <c r="G10" s="1"/>
      <c r="H10" s="17">
        <v>7.0</v>
      </c>
      <c r="I10" s="21" t="str">
        <f t="shared" si="2"/>
        <v>ANTS</v>
      </c>
      <c r="J10" s="19">
        <v>7.0</v>
      </c>
      <c r="K10" s="19">
        <v>5.0</v>
      </c>
      <c r="L10" s="22">
        <f t="shared" si="3"/>
        <v>12</v>
      </c>
      <c r="M10" s="1"/>
      <c r="N10" s="24">
        <v>7.0</v>
      </c>
      <c r="O10" s="15" t="str">
        <f t="shared" si="4"/>
        <v>ANTS</v>
      </c>
      <c r="P10" s="19">
        <v>6.0</v>
      </c>
      <c r="Q10" s="19">
        <v>13.0</v>
      </c>
      <c r="R10" s="22">
        <f t="shared" si="5"/>
        <v>19</v>
      </c>
      <c r="S10" s="16"/>
      <c r="T10" s="1"/>
      <c r="U10" s="17">
        <v>7.0</v>
      </c>
      <c r="V10" s="15" t="str">
        <f t="shared" si="6"/>
        <v>ANTS</v>
      </c>
      <c r="W10" s="19">
        <v>6.0</v>
      </c>
      <c r="X10" s="19">
        <v>7.0</v>
      </c>
      <c r="Y10" s="14">
        <f t="shared" si="7"/>
        <v>13</v>
      </c>
      <c r="AB10" s="1"/>
      <c r="AC10" s="1"/>
    </row>
    <row r="11">
      <c r="A11" s="1"/>
      <c r="B11" s="17">
        <v>8.0</v>
      </c>
      <c r="C11" s="18" t="s">
        <v>300</v>
      </c>
      <c r="D11" s="19">
        <v>9.0</v>
      </c>
      <c r="E11" s="12">
        <v>5.0</v>
      </c>
      <c r="F11" s="22">
        <f t="shared" si="1"/>
        <v>14</v>
      </c>
      <c r="G11" s="1"/>
      <c r="H11" s="17">
        <v>8.0</v>
      </c>
      <c r="I11" s="21" t="str">
        <f t="shared" si="2"/>
        <v>IG DEMO</v>
      </c>
      <c r="J11" s="19">
        <v>3.0</v>
      </c>
      <c r="K11" s="19">
        <v>2.0</v>
      </c>
      <c r="L11" s="22">
        <f t="shared" si="3"/>
        <v>5</v>
      </c>
      <c r="M11" s="1"/>
      <c r="N11" s="25">
        <v>8.0</v>
      </c>
      <c r="O11" s="21" t="str">
        <f t="shared" si="4"/>
        <v>IG DEMO</v>
      </c>
      <c r="P11" s="19">
        <v>4.0</v>
      </c>
      <c r="Q11" s="19">
        <v>4.0</v>
      </c>
      <c r="R11" s="22">
        <f t="shared" si="5"/>
        <v>8</v>
      </c>
      <c r="S11" s="16"/>
      <c r="T11" s="1"/>
      <c r="U11" s="17">
        <v>8.0</v>
      </c>
      <c r="V11" s="15" t="str">
        <f t="shared" si="6"/>
        <v>IG DEMO</v>
      </c>
      <c r="W11" s="19">
        <v>0.0</v>
      </c>
      <c r="X11" s="19">
        <v>0.0</v>
      </c>
      <c r="Y11" s="14">
        <f t="shared" si="7"/>
        <v>0</v>
      </c>
      <c r="AB11" s="1"/>
      <c r="AC11" s="1"/>
      <c r="AD11" s="26" t="s">
        <v>18</v>
      </c>
    </row>
    <row r="12">
      <c r="A12" s="1"/>
      <c r="B12" s="17">
        <v>9.0</v>
      </c>
      <c r="C12" s="11" t="s">
        <v>301</v>
      </c>
      <c r="D12" s="19">
        <v>0.0</v>
      </c>
      <c r="E12" s="19">
        <v>2.0</v>
      </c>
      <c r="F12" s="22">
        <f t="shared" si="1"/>
        <v>2</v>
      </c>
      <c r="G12" s="1"/>
      <c r="H12" s="17">
        <v>9.0</v>
      </c>
      <c r="I12" s="21" t="str">
        <f t="shared" si="2"/>
        <v>PX4</v>
      </c>
      <c r="J12" s="19">
        <v>2.0</v>
      </c>
      <c r="K12" s="19">
        <v>3.0</v>
      </c>
      <c r="L12" s="22">
        <f t="shared" si="3"/>
        <v>5</v>
      </c>
      <c r="M12" s="1"/>
      <c r="N12" s="10">
        <v>9.0</v>
      </c>
      <c r="O12" s="15" t="str">
        <f t="shared" si="4"/>
        <v>PX4</v>
      </c>
      <c r="P12" s="19">
        <v>2.0</v>
      </c>
      <c r="Q12" s="19">
        <v>5.0</v>
      </c>
      <c r="R12" s="22">
        <f t="shared" si="5"/>
        <v>7</v>
      </c>
      <c r="S12" s="16"/>
      <c r="T12" s="1"/>
      <c r="U12" s="17">
        <v>9.0</v>
      </c>
      <c r="V12" s="15" t="str">
        <f t="shared" si="6"/>
        <v>PX4</v>
      </c>
      <c r="W12" s="19">
        <v>5.0</v>
      </c>
      <c r="X12" s="19">
        <v>6.0</v>
      </c>
      <c r="Y12" s="14">
        <f t="shared" si="7"/>
        <v>11</v>
      </c>
      <c r="AB12" s="1"/>
      <c r="AC12" s="1"/>
    </row>
    <row r="13">
      <c r="A13" s="1"/>
      <c r="B13" s="17">
        <v>10.0</v>
      </c>
      <c r="C13" s="18" t="s">
        <v>123</v>
      </c>
      <c r="D13" s="19">
        <v>4.0</v>
      </c>
      <c r="E13" s="19">
        <v>1.0</v>
      </c>
      <c r="F13" s="22">
        <f t="shared" si="1"/>
        <v>5</v>
      </c>
      <c r="G13" s="1"/>
      <c r="H13" s="17">
        <v>10.0</v>
      </c>
      <c r="I13" s="21" t="str">
        <f t="shared" si="2"/>
        <v>NZ</v>
      </c>
      <c r="J13" s="19">
        <v>6.0</v>
      </c>
      <c r="K13" s="19">
        <v>7.0</v>
      </c>
      <c r="L13" s="22">
        <f t="shared" si="3"/>
        <v>13</v>
      </c>
      <c r="M13" s="1"/>
      <c r="N13" s="17">
        <v>10.0</v>
      </c>
      <c r="O13" s="15" t="str">
        <f t="shared" si="4"/>
        <v>NZ</v>
      </c>
      <c r="P13" s="19">
        <v>3.0</v>
      </c>
      <c r="Q13" s="19">
        <v>5.0</v>
      </c>
      <c r="R13" s="22">
        <f t="shared" si="5"/>
        <v>8</v>
      </c>
      <c r="S13" s="16"/>
      <c r="T13" s="1"/>
      <c r="U13" s="17">
        <v>10.0</v>
      </c>
      <c r="V13" s="15" t="str">
        <f t="shared" si="6"/>
        <v>NZ</v>
      </c>
      <c r="W13" s="19">
        <v>7.0</v>
      </c>
      <c r="X13" s="19">
        <v>1.0</v>
      </c>
      <c r="Y13" s="14">
        <f t="shared" si="7"/>
        <v>8</v>
      </c>
      <c r="AB13" s="1"/>
      <c r="AC13" s="1"/>
      <c r="AD13" s="1"/>
    </row>
    <row r="14">
      <c r="A14" s="1"/>
      <c r="B14" s="17">
        <v>11.0</v>
      </c>
      <c r="C14" s="18" t="s">
        <v>199</v>
      </c>
      <c r="D14" s="19">
        <v>5.0</v>
      </c>
      <c r="E14" s="19">
        <v>1.0</v>
      </c>
      <c r="F14" s="22">
        <f t="shared" si="1"/>
        <v>6</v>
      </c>
      <c r="G14" s="1"/>
      <c r="H14" s="17">
        <v>11.0</v>
      </c>
      <c r="I14" s="21" t="str">
        <f t="shared" si="2"/>
        <v>NG</v>
      </c>
      <c r="J14" s="19">
        <v>1.0</v>
      </c>
      <c r="K14" s="19">
        <v>1.0</v>
      </c>
      <c r="L14" s="20">
        <f t="shared" si="3"/>
        <v>2</v>
      </c>
      <c r="M14" s="1"/>
      <c r="N14" s="17">
        <v>11.0</v>
      </c>
      <c r="O14" s="15" t="str">
        <f t="shared" si="4"/>
        <v>NG</v>
      </c>
      <c r="P14" s="19">
        <v>0.0</v>
      </c>
      <c r="Q14" s="19">
        <v>0.0</v>
      </c>
      <c r="R14" s="22">
        <f t="shared" si="5"/>
        <v>0</v>
      </c>
      <c r="S14" s="16"/>
      <c r="T14" s="1"/>
      <c r="U14" s="17">
        <v>11.0</v>
      </c>
      <c r="V14" s="15" t="str">
        <f t="shared" si="6"/>
        <v>NG</v>
      </c>
      <c r="W14" s="19">
        <v>0.0</v>
      </c>
      <c r="X14" s="19">
        <v>0.0</v>
      </c>
      <c r="Y14" s="14">
        <f t="shared" si="7"/>
        <v>0</v>
      </c>
      <c r="AB14" s="1"/>
      <c r="AC14" s="1"/>
      <c r="AD14" s="1"/>
    </row>
    <row r="15">
      <c r="A15" s="1"/>
      <c r="B15" s="27">
        <v>12.0</v>
      </c>
      <c r="C15" s="28" t="s">
        <v>129</v>
      </c>
      <c r="D15" s="29">
        <v>8.0</v>
      </c>
      <c r="E15" s="29">
        <v>9.0</v>
      </c>
      <c r="F15" s="30">
        <f>C45+E15</f>
        <v>12</v>
      </c>
      <c r="G15" s="1"/>
      <c r="H15" s="27">
        <v>12.0</v>
      </c>
      <c r="I15" s="31" t="str">
        <f t="shared" si="2"/>
        <v>RNX</v>
      </c>
      <c r="J15" s="29">
        <v>8.0</v>
      </c>
      <c r="K15" s="29">
        <v>8.0</v>
      </c>
      <c r="L15" s="30">
        <f>E45+K15</f>
        <v>11</v>
      </c>
      <c r="M15" s="1"/>
      <c r="N15" s="27">
        <v>12.0</v>
      </c>
      <c r="O15" s="32" t="str">
        <f t="shared" si="4"/>
        <v>RNX</v>
      </c>
      <c r="P15" s="29">
        <v>0.0</v>
      </c>
      <c r="Q15" s="29">
        <v>3.0</v>
      </c>
      <c r="R15" s="22">
        <f t="shared" si="5"/>
        <v>3</v>
      </c>
      <c r="S15" s="16"/>
      <c r="T15" s="1"/>
      <c r="U15" s="24">
        <v>12.0</v>
      </c>
      <c r="V15" s="33" t="str">
        <f t="shared" si="6"/>
        <v>RNX</v>
      </c>
      <c r="W15" s="34">
        <v>3.0</v>
      </c>
      <c r="X15" s="34">
        <v>0.0</v>
      </c>
      <c r="Y15" s="14">
        <f t="shared" si="7"/>
        <v>3</v>
      </c>
      <c r="AB15" s="1"/>
      <c r="AC15" s="1"/>
      <c r="AD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35"/>
      <c r="V16" s="36"/>
      <c r="W16" s="36"/>
      <c r="X16" s="36"/>
      <c r="Y16" s="36"/>
      <c r="Z16" s="36"/>
      <c r="AA16" s="36"/>
      <c r="AB16" s="36"/>
      <c r="AC16" s="37"/>
      <c r="AD16" s="1"/>
    </row>
    <row r="17">
      <c r="A17" s="1"/>
      <c r="B17" s="2" t="s">
        <v>23</v>
      </c>
      <c r="C17" s="3"/>
      <c r="D17" s="3"/>
      <c r="E17" s="3"/>
      <c r="F17" s="4"/>
      <c r="G17" s="1"/>
      <c r="H17" s="2" t="s">
        <v>24</v>
      </c>
      <c r="I17" s="3"/>
      <c r="J17" s="3"/>
      <c r="K17" s="3"/>
      <c r="L17" s="4"/>
      <c r="M17" s="1"/>
      <c r="N17" s="38" t="s">
        <v>25</v>
      </c>
      <c r="O17" s="3"/>
      <c r="P17" s="3"/>
      <c r="Q17" s="3"/>
      <c r="R17" s="3"/>
      <c r="S17" s="3"/>
      <c r="T17" s="4"/>
      <c r="U17" s="39"/>
      <c r="V17" s="40" t="s">
        <v>258</v>
      </c>
      <c r="W17" s="41"/>
      <c r="X17" s="41"/>
      <c r="Y17" s="41"/>
      <c r="Z17" s="41"/>
      <c r="AA17" s="41"/>
      <c r="AB17" s="42"/>
      <c r="AC17" s="43"/>
      <c r="AD17" s="44"/>
    </row>
    <row r="18">
      <c r="A18" s="1"/>
      <c r="B18" s="6" t="s">
        <v>4</v>
      </c>
      <c r="C18" s="8" t="s">
        <v>5</v>
      </c>
      <c r="D18" s="6" t="s">
        <v>6</v>
      </c>
      <c r="E18" s="6" t="s">
        <v>7</v>
      </c>
      <c r="F18" s="6" t="s">
        <v>8</v>
      </c>
      <c r="G18" s="1"/>
      <c r="H18" s="6" t="s">
        <v>4</v>
      </c>
      <c r="I18" s="8" t="s">
        <v>5</v>
      </c>
      <c r="J18" s="6" t="s">
        <v>6</v>
      </c>
      <c r="K18" s="6" t="s">
        <v>7</v>
      </c>
      <c r="L18" s="6" t="s">
        <v>8</v>
      </c>
      <c r="M18" s="1"/>
      <c r="N18" s="6" t="s">
        <v>4</v>
      </c>
      <c r="O18" s="11" t="s">
        <v>27</v>
      </c>
      <c r="P18" s="45" t="s">
        <v>28</v>
      </c>
      <c r="Q18" s="45" t="s">
        <v>29</v>
      </c>
      <c r="R18" s="45" t="s">
        <v>30</v>
      </c>
      <c r="S18" s="45" t="s">
        <v>31</v>
      </c>
      <c r="T18" s="46" t="s">
        <v>32</v>
      </c>
      <c r="U18" s="47"/>
      <c r="V18" s="48" t="s">
        <v>4</v>
      </c>
      <c r="W18" s="48" t="s">
        <v>27</v>
      </c>
      <c r="X18" s="48" t="s">
        <v>28</v>
      </c>
      <c r="Y18" s="48" t="s">
        <v>29</v>
      </c>
      <c r="Z18" s="48" t="s">
        <v>30</v>
      </c>
      <c r="AA18" s="48" t="s">
        <v>31</v>
      </c>
      <c r="AB18" s="48" t="s">
        <v>32</v>
      </c>
      <c r="AC18" s="49"/>
      <c r="AD18" s="5"/>
    </row>
    <row r="19">
      <c r="A19" s="1"/>
      <c r="B19" s="10">
        <f t="array" ref="B19:B30">SEQUENCE(12,1)</f>
        <v>1</v>
      </c>
      <c r="C19" s="15" t="str">
        <f t="shared" ref="C19:C30" si="8">C4</f>
        <v>ms</v>
      </c>
      <c r="D19" s="12"/>
      <c r="E19" s="12"/>
      <c r="F19" s="50">
        <f t="shared" ref="F19:F30" si="9">D19+E19</f>
        <v>0</v>
      </c>
      <c r="G19" s="1"/>
      <c r="H19" s="10">
        <f t="array" ref="H19:H30">SEQUENCE(12,1)</f>
        <v>1</v>
      </c>
      <c r="I19" s="15" t="str">
        <f t="shared" ref="I19:I30" si="10">C4</f>
        <v>ms</v>
      </c>
      <c r="J19" s="12"/>
      <c r="K19" s="12"/>
      <c r="L19" s="14">
        <f t="shared" ref="L19:L30" si="11">J19+K19</f>
        <v>0</v>
      </c>
      <c r="M19" s="1"/>
      <c r="N19" s="147">
        <v>1.0</v>
      </c>
      <c r="O19" s="19" t="s">
        <v>302</v>
      </c>
      <c r="P19" s="12">
        <f t="shared" ref="P19:P30" si="12">C46+E46+G46+I46+K46+M46</f>
        <v>2</v>
      </c>
      <c r="Q19" s="52">
        <f t="shared" ref="Q19:Q30" si="13">COUNT(D4,J4,P4,W4,D19,J19)</f>
        <v>4</v>
      </c>
      <c r="R19" s="53">
        <f t="shared" ref="R19:R30" si="14">P4+J4+D4+W4+D19+J19</f>
        <v>41</v>
      </c>
      <c r="S19" s="53">
        <f t="shared" ref="S19:S25" si="15">E4+K4+Q4+X4+E19+K19</f>
        <v>61</v>
      </c>
      <c r="T19" s="54">
        <f t="shared" ref="T19:T30" si="16">R19+S19</f>
        <v>102</v>
      </c>
      <c r="U19" s="47"/>
      <c r="V19" s="55">
        <f t="array" ref="V19:V30">SEQUENCE(12,1)</f>
        <v>1</v>
      </c>
      <c r="W19" s="56" t="str">
        <f t="array" ref="W19:AB30">SORT(O19:T30,6,FALSE,2,FALSE,5,FALSE,4,FALSE)</f>
        <v>EsportSphere</v>
      </c>
      <c r="X19" s="56">
        <v>2.0</v>
      </c>
      <c r="Y19" s="56">
        <v>4.0</v>
      </c>
      <c r="Z19" s="57">
        <v>41.0</v>
      </c>
      <c r="AA19" s="57">
        <v>61.0</v>
      </c>
      <c r="AB19" s="58">
        <v>102.0</v>
      </c>
      <c r="AC19" s="49"/>
      <c r="AD19" s="16"/>
    </row>
    <row r="20">
      <c r="A20" s="1"/>
      <c r="B20" s="17">
        <v>2.0</v>
      </c>
      <c r="C20" s="15" t="str">
        <f t="shared" si="8"/>
        <v>SNS</v>
      </c>
      <c r="D20" s="19"/>
      <c r="E20" s="19"/>
      <c r="F20" s="50">
        <f t="shared" si="9"/>
        <v>0</v>
      </c>
      <c r="G20" s="1"/>
      <c r="H20" s="17">
        <v>2.0</v>
      </c>
      <c r="I20" s="15" t="str">
        <f t="shared" si="10"/>
        <v>SNS</v>
      </c>
      <c r="J20" s="19"/>
      <c r="K20" s="19"/>
      <c r="L20" s="14">
        <f t="shared" si="11"/>
        <v>0</v>
      </c>
      <c r="M20" s="1"/>
      <c r="N20" s="148">
        <v>2.0</v>
      </c>
      <c r="O20" s="19" t="s">
        <v>303</v>
      </c>
      <c r="P20" s="12">
        <f t="shared" si="12"/>
        <v>0</v>
      </c>
      <c r="Q20" s="52">
        <f t="shared" si="13"/>
        <v>4</v>
      </c>
      <c r="R20" s="53">
        <f t="shared" si="14"/>
        <v>24</v>
      </c>
      <c r="S20" s="53">
        <f t="shared" si="15"/>
        <v>48</v>
      </c>
      <c r="T20" s="54">
        <f t="shared" si="16"/>
        <v>72</v>
      </c>
      <c r="U20" s="47"/>
      <c r="V20" s="60">
        <v>2.0</v>
      </c>
      <c r="W20" s="61" t="s">
        <v>38</v>
      </c>
      <c r="X20" s="61">
        <v>1.0</v>
      </c>
      <c r="Y20" s="61">
        <v>4.0</v>
      </c>
      <c r="Z20" s="62">
        <v>27.0</v>
      </c>
      <c r="AA20" s="62">
        <v>53.0</v>
      </c>
      <c r="AB20" s="63">
        <v>80.0</v>
      </c>
      <c r="AC20" s="49"/>
      <c r="AD20" s="16"/>
    </row>
    <row r="21">
      <c r="A21" s="1"/>
      <c r="B21" s="17">
        <v>3.0</v>
      </c>
      <c r="C21" s="15" t="str">
        <f t="shared" si="8"/>
        <v>ISG</v>
      </c>
      <c r="D21" s="19"/>
      <c r="E21" s="19"/>
      <c r="F21" s="50">
        <f t="shared" si="9"/>
        <v>0</v>
      </c>
      <c r="G21" s="1"/>
      <c r="H21" s="17">
        <v>3.0</v>
      </c>
      <c r="I21" s="15" t="str">
        <f t="shared" si="10"/>
        <v>ISG</v>
      </c>
      <c r="J21" s="19"/>
      <c r="K21" s="19"/>
      <c r="L21" s="14">
        <f t="shared" si="11"/>
        <v>0</v>
      </c>
      <c r="M21" s="1"/>
      <c r="N21" s="148">
        <v>3.0</v>
      </c>
      <c r="O21" s="19" t="s">
        <v>304</v>
      </c>
      <c r="P21" s="12">
        <f t="shared" si="12"/>
        <v>1</v>
      </c>
      <c r="Q21" s="52">
        <f t="shared" si="13"/>
        <v>4</v>
      </c>
      <c r="R21" s="53">
        <f t="shared" si="14"/>
        <v>25</v>
      </c>
      <c r="S21" s="53">
        <f t="shared" si="15"/>
        <v>22</v>
      </c>
      <c r="T21" s="54">
        <f t="shared" si="16"/>
        <v>47</v>
      </c>
      <c r="U21" s="47"/>
      <c r="V21" s="64">
        <v>3.0</v>
      </c>
      <c r="W21" s="65" t="s">
        <v>303</v>
      </c>
      <c r="X21" s="66">
        <v>0.0</v>
      </c>
      <c r="Y21" s="66">
        <v>4.0</v>
      </c>
      <c r="Z21" s="67">
        <v>24.0</v>
      </c>
      <c r="AA21" s="67">
        <v>48.0</v>
      </c>
      <c r="AB21" s="68">
        <v>72.0</v>
      </c>
      <c r="AC21" s="49"/>
      <c r="AD21" s="16"/>
    </row>
    <row r="22">
      <c r="A22" s="1"/>
      <c r="B22" s="17">
        <v>4.0</v>
      </c>
      <c r="C22" s="15" t="str">
        <f t="shared" si="8"/>
        <v>HWK</v>
      </c>
      <c r="D22" s="19"/>
      <c r="E22" s="19"/>
      <c r="F22" s="50">
        <f t="shared" si="9"/>
        <v>0</v>
      </c>
      <c r="G22" s="1"/>
      <c r="H22" s="17">
        <v>4.0</v>
      </c>
      <c r="I22" s="15" t="str">
        <f t="shared" si="10"/>
        <v>HWK</v>
      </c>
      <c r="J22" s="19"/>
      <c r="K22" s="19"/>
      <c r="L22" s="14">
        <f t="shared" si="11"/>
        <v>0</v>
      </c>
      <c r="M22" s="1"/>
      <c r="N22" s="148">
        <v>4.0</v>
      </c>
      <c r="O22" s="19" t="s">
        <v>305</v>
      </c>
      <c r="P22" s="12">
        <f t="shared" si="12"/>
        <v>0</v>
      </c>
      <c r="Q22" s="52">
        <f t="shared" si="13"/>
        <v>4</v>
      </c>
      <c r="R22" s="53">
        <f t="shared" si="14"/>
        <v>1</v>
      </c>
      <c r="S22" s="53">
        <f t="shared" si="15"/>
        <v>3</v>
      </c>
      <c r="T22" s="54">
        <f t="shared" si="16"/>
        <v>4</v>
      </c>
      <c r="U22" s="47"/>
      <c r="V22" s="69">
        <v>4.0</v>
      </c>
      <c r="W22" s="70" t="s">
        <v>306</v>
      </c>
      <c r="X22" s="71">
        <v>0.0</v>
      </c>
      <c r="Y22" s="71">
        <v>4.0</v>
      </c>
      <c r="Z22" s="72">
        <v>21.0</v>
      </c>
      <c r="AA22" s="72">
        <v>41.0</v>
      </c>
      <c r="AB22" s="73">
        <v>62.0</v>
      </c>
      <c r="AC22" s="49"/>
      <c r="AD22" s="16"/>
    </row>
    <row r="23">
      <c r="A23" s="1"/>
      <c r="B23" s="17">
        <v>5.0</v>
      </c>
      <c r="C23" s="15" t="str">
        <f t="shared" si="8"/>
        <v>LXP</v>
      </c>
      <c r="D23" s="19"/>
      <c r="E23" s="19"/>
      <c r="F23" s="50">
        <f t="shared" si="9"/>
        <v>0</v>
      </c>
      <c r="G23" s="1"/>
      <c r="H23" s="17">
        <v>5.0</v>
      </c>
      <c r="I23" s="15" t="str">
        <f t="shared" si="10"/>
        <v>LXP</v>
      </c>
      <c r="J23" s="19"/>
      <c r="K23" s="19"/>
      <c r="L23" s="14">
        <f t="shared" si="11"/>
        <v>0</v>
      </c>
      <c r="M23" s="1"/>
      <c r="N23" s="148">
        <v>5.0</v>
      </c>
      <c r="O23" s="19" t="s">
        <v>306</v>
      </c>
      <c r="P23" s="12">
        <f t="shared" si="12"/>
        <v>0</v>
      </c>
      <c r="Q23" s="52">
        <f t="shared" si="13"/>
        <v>4</v>
      </c>
      <c r="R23" s="53">
        <f t="shared" si="14"/>
        <v>21</v>
      </c>
      <c r="S23" s="53">
        <f t="shared" si="15"/>
        <v>41</v>
      </c>
      <c r="T23" s="54">
        <f t="shared" si="16"/>
        <v>62</v>
      </c>
      <c r="U23" s="47"/>
      <c r="V23" s="74">
        <v>5.0</v>
      </c>
      <c r="W23" s="75" t="s">
        <v>307</v>
      </c>
      <c r="X23" s="76">
        <v>0.0</v>
      </c>
      <c r="Y23" s="76">
        <v>4.0</v>
      </c>
      <c r="Z23" s="77">
        <v>22.0</v>
      </c>
      <c r="AA23" s="77">
        <v>29.0</v>
      </c>
      <c r="AB23" s="78">
        <v>51.0</v>
      </c>
      <c r="AC23" s="49"/>
      <c r="AD23" s="16"/>
    </row>
    <row r="24">
      <c r="A24" s="1"/>
      <c r="B24" s="17">
        <v>6.0</v>
      </c>
      <c r="C24" s="15" t="str">
        <f t="shared" si="8"/>
        <v>kishu</v>
      </c>
      <c r="D24" s="19"/>
      <c r="E24" s="19"/>
      <c r="F24" s="50">
        <f t="shared" si="9"/>
        <v>0</v>
      </c>
      <c r="G24" s="1"/>
      <c r="H24" s="17">
        <v>6.0</v>
      </c>
      <c r="I24" s="15" t="str">
        <f t="shared" si="10"/>
        <v>kishu</v>
      </c>
      <c r="J24" s="19"/>
      <c r="K24" s="19"/>
      <c r="L24" s="14">
        <f t="shared" si="11"/>
        <v>0</v>
      </c>
      <c r="M24" s="1"/>
      <c r="N24" s="148">
        <v>6.0</v>
      </c>
      <c r="O24" s="19" t="s">
        <v>38</v>
      </c>
      <c r="P24" s="12">
        <f t="shared" si="12"/>
        <v>1</v>
      </c>
      <c r="Q24" s="52">
        <f t="shared" si="13"/>
        <v>4</v>
      </c>
      <c r="R24" s="53">
        <f t="shared" si="14"/>
        <v>27</v>
      </c>
      <c r="S24" s="53">
        <f t="shared" si="15"/>
        <v>53</v>
      </c>
      <c r="T24" s="54">
        <f t="shared" si="16"/>
        <v>80</v>
      </c>
      <c r="U24" s="47"/>
      <c r="V24" s="74">
        <v>6.0</v>
      </c>
      <c r="W24" s="75" t="s">
        <v>304</v>
      </c>
      <c r="X24" s="76">
        <v>1.0</v>
      </c>
      <c r="Y24" s="76">
        <v>4.0</v>
      </c>
      <c r="Z24" s="77">
        <v>25.0</v>
      </c>
      <c r="AA24" s="77">
        <v>22.0</v>
      </c>
      <c r="AB24" s="78">
        <v>47.0</v>
      </c>
      <c r="AC24" s="49"/>
      <c r="AD24" s="16"/>
    </row>
    <row r="25">
      <c r="A25" s="1"/>
      <c r="B25" s="17">
        <v>7.0</v>
      </c>
      <c r="C25" s="15" t="str">
        <f t="shared" si="8"/>
        <v>ANTS</v>
      </c>
      <c r="D25" s="19"/>
      <c r="E25" s="19"/>
      <c r="F25" s="50">
        <f t="shared" si="9"/>
        <v>0</v>
      </c>
      <c r="G25" s="1"/>
      <c r="H25" s="17">
        <v>7.0</v>
      </c>
      <c r="I25" s="15" t="str">
        <f t="shared" si="10"/>
        <v>ANTS</v>
      </c>
      <c r="J25" s="19"/>
      <c r="K25" s="19"/>
      <c r="L25" s="14">
        <f t="shared" si="11"/>
        <v>0</v>
      </c>
      <c r="M25" s="1"/>
      <c r="N25" s="148">
        <v>7.0</v>
      </c>
      <c r="O25" s="19" t="s">
        <v>307</v>
      </c>
      <c r="P25" s="12">
        <f t="shared" si="12"/>
        <v>0</v>
      </c>
      <c r="Q25" s="52">
        <f t="shared" si="13"/>
        <v>4</v>
      </c>
      <c r="R25" s="53">
        <f t="shared" si="14"/>
        <v>22</v>
      </c>
      <c r="S25" s="53">
        <f t="shared" si="15"/>
        <v>29</v>
      </c>
      <c r="T25" s="54">
        <f t="shared" si="16"/>
        <v>51</v>
      </c>
      <c r="U25" s="47"/>
      <c r="V25" s="79">
        <v>7.0</v>
      </c>
      <c r="W25" s="80" t="s">
        <v>308</v>
      </c>
      <c r="X25" s="81">
        <v>0.0</v>
      </c>
      <c r="Y25" s="81">
        <v>4.0</v>
      </c>
      <c r="Z25" s="82">
        <v>19.0</v>
      </c>
      <c r="AA25" s="82">
        <v>20.0</v>
      </c>
      <c r="AB25" s="83">
        <v>39.0</v>
      </c>
      <c r="AC25" s="49"/>
      <c r="AD25" s="16"/>
    </row>
    <row r="26">
      <c r="A26" s="1"/>
      <c r="B26" s="17">
        <v>8.0</v>
      </c>
      <c r="C26" s="15" t="str">
        <f t="shared" si="8"/>
        <v>IG DEMO</v>
      </c>
      <c r="D26" s="19"/>
      <c r="E26" s="19"/>
      <c r="F26" s="50">
        <f t="shared" si="9"/>
        <v>0</v>
      </c>
      <c r="G26" s="1"/>
      <c r="H26" s="17">
        <v>8.0</v>
      </c>
      <c r="I26" s="15" t="str">
        <f t="shared" si="10"/>
        <v>IG DEMO</v>
      </c>
      <c r="J26" s="19"/>
      <c r="K26" s="19"/>
      <c r="L26" s="14">
        <f t="shared" si="11"/>
        <v>0</v>
      </c>
      <c r="M26" s="1"/>
      <c r="N26" s="148">
        <v>8.0</v>
      </c>
      <c r="O26" s="149" t="s">
        <v>309</v>
      </c>
      <c r="P26" s="12">
        <f t="shared" si="12"/>
        <v>0</v>
      </c>
      <c r="Q26" s="52">
        <f t="shared" si="13"/>
        <v>4</v>
      </c>
      <c r="R26" s="53">
        <f t="shared" si="14"/>
        <v>16</v>
      </c>
      <c r="S26" s="53">
        <f>K11+Q11+X11+E26+K26+E11</f>
        <v>11</v>
      </c>
      <c r="T26" s="54">
        <f t="shared" si="16"/>
        <v>27</v>
      </c>
      <c r="U26" s="47"/>
      <c r="V26" s="85">
        <v>8.0</v>
      </c>
      <c r="W26" s="86" t="s">
        <v>310</v>
      </c>
      <c r="X26" s="87">
        <v>0.0</v>
      </c>
      <c r="Y26" s="87">
        <v>4.0</v>
      </c>
      <c r="Z26" s="88">
        <v>20.0</v>
      </c>
      <c r="AA26" s="88">
        <v>14.0</v>
      </c>
      <c r="AB26" s="89">
        <v>34.0</v>
      </c>
      <c r="AC26" s="49"/>
    </row>
    <row r="27">
      <c r="A27" s="1"/>
      <c r="B27" s="17">
        <v>9.0</v>
      </c>
      <c r="C27" s="15" t="str">
        <f t="shared" si="8"/>
        <v>PX4</v>
      </c>
      <c r="D27" s="19"/>
      <c r="E27" s="19"/>
      <c r="F27" s="50">
        <f t="shared" si="9"/>
        <v>0</v>
      </c>
      <c r="G27" s="1"/>
      <c r="H27" s="17">
        <v>9.0</v>
      </c>
      <c r="I27" s="11" t="str">
        <f t="shared" si="10"/>
        <v>PX4</v>
      </c>
      <c r="J27" s="19"/>
      <c r="K27" s="19"/>
      <c r="L27" s="14">
        <f t="shared" si="11"/>
        <v>0</v>
      </c>
      <c r="M27" s="1"/>
      <c r="N27" s="148">
        <v>9.0</v>
      </c>
      <c r="O27" s="19" t="s">
        <v>311</v>
      </c>
      <c r="P27" s="12">
        <f t="shared" si="12"/>
        <v>0</v>
      </c>
      <c r="Q27" s="52">
        <f t="shared" si="13"/>
        <v>4</v>
      </c>
      <c r="R27" s="53">
        <f t="shared" si="14"/>
        <v>9</v>
      </c>
      <c r="S27" s="53">
        <f t="shared" ref="S27:S30" si="17">E12+K12+Q12+X12+E27+K27</f>
        <v>16</v>
      </c>
      <c r="T27" s="54">
        <f t="shared" si="16"/>
        <v>25</v>
      </c>
      <c r="U27" s="47"/>
      <c r="V27" s="90">
        <v>9.0</v>
      </c>
      <c r="W27" s="91" t="s">
        <v>309</v>
      </c>
      <c r="X27" s="92">
        <v>0.0</v>
      </c>
      <c r="Y27" s="92">
        <v>4.0</v>
      </c>
      <c r="Z27" s="93">
        <v>16.0</v>
      </c>
      <c r="AA27" s="93">
        <v>11.0</v>
      </c>
      <c r="AB27" s="94">
        <v>27.0</v>
      </c>
      <c r="AC27" s="49"/>
    </row>
    <row r="28">
      <c r="A28" s="1"/>
      <c r="B28" s="17">
        <v>10.0</v>
      </c>
      <c r="C28" s="15" t="str">
        <f t="shared" si="8"/>
        <v>NZ</v>
      </c>
      <c r="D28" s="19"/>
      <c r="E28" s="19"/>
      <c r="F28" s="50">
        <f t="shared" si="9"/>
        <v>0</v>
      </c>
      <c r="G28" s="1"/>
      <c r="H28" s="17">
        <v>10.0</v>
      </c>
      <c r="I28" s="15" t="str">
        <f t="shared" si="10"/>
        <v>NZ</v>
      </c>
      <c r="J28" s="19"/>
      <c r="K28" s="19"/>
      <c r="L28" s="14">
        <f t="shared" si="11"/>
        <v>0</v>
      </c>
      <c r="M28" s="1"/>
      <c r="N28" s="148">
        <v>10.0</v>
      </c>
      <c r="O28" s="19" t="s">
        <v>310</v>
      </c>
      <c r="P28" s="12">
        <f t="shared" si="12"/>
        <v>0</v>
      </c>
      <c r="Q28" s="52">
        <f t="shared" si="13"/>
        <v>4</v>
      </c>
      <c r="R28" s="53">
        <f t="shared" si="14"/>
        <v>20</v>
      </c>
      <c r="S28" s="53">
        <f t="shared" si="17"/>
        <v>14</v>
      </c>
      <c r="T28" s="54">
        <f t="shared" si="16"/>
        <v>34</v>
      </c>
      <c r="U28" s="47"/>
      <c r="V28" s="90">
        <v>10.0</v>
      </c>
      <c r="W28" s="91" t="s">
        <v>311</v>
      </c>
      <c r="X28" s="92">
        <v>0.0</v>
      </c>
      <c r="Y28" s="92">
        <v>4.0</v>
      </c>
      <c r="Z28" s="93">
        <v>9.0</v>
      </c>
      <c r="AA28" s="93">
        <v>16.0</v>
      </c>
      <c r="AB28" s="94">
        <v>25.0</v>
      </c>
      <c r="AC28" s="49"/>
    </row>
    <row r="29">
      <c r="A29" s="1"/>
      <c r="B29" s="17">
        <v>11.0</v>
      </c>
      <c r="C29" s="15" t="str">
        <f t="shared" si="8"/>
        <v>NG</v>
      </c>
      <c r="D29" s="19"/>
      <c r="E29" s="19"/>
      <c r="F29" s="50">
        <f t="shared" si="9"/>
        <v>0</v>
      </c>
      <c r="G29" s="1"/>
      <c r="H29" s="17">
        <v>11.0</v>
      </c>
      <c r="I29" s="15" t="str">
        <f t="shared" si="10"/>
        <v>NG</v>
      </c>
      <c r="J29" s="19"/>
      <c r="K29" s="19"/>
      <c r="L29" s="14">
        <f t="shared" si="11"/>
        <v>0</v>
      </c>
      <c r="M29" s="1"/>
      <c r="N29" s="148">
        <v>11.0</v>
      </c>
      <c r="O29" s="150" t="s">
        <v>312</v>
      </c>
      <c r="P29" s="12">
        <f t="shared" si="12"/>
        <v>0</v>
      </c>
      <c r="Q29" s="52">
        <f t="shared" si="13"/>
        <v>4</v>
      </c>
      <c r="R29" s="53">
        <f t="shared" si="14"/>
        <v>6</v>
      </c>
      <c r="S29" s="53">
        <f t="shared" si="17"/>
        <v>2</v>
      </c>
      <c r="T29" s="54">
        <f t="shared" si="16"/>
        <v>8</v>
      </c>
      <c r="U29" s="47"/>
      <c r="V29" s="90">
        <v>11.0</v>
      </c>
      <c r="W29" s="91" t="s">
        <v>312</v>
      </c>
      <c r="X29" s="92">
        <v>0.0</v>
      </c>
      <c r="Y29" s="92">
        <v>4.0</v>
      </c>
      <c r="Z29" s="93">
        <v>6.0</v>
      </c>
      <c r="AA29" s="93">
        <v>2.0</v>
      </c>
      <c r="AB29" s="94">
        <v>8.0</v>
      </c>
      <c r="AC29" s="49"/>
      <c r="AD29" s="16"/>
    </row>
    <row r="30">
      <c r="A30" s="1"/>
      <c r="B30" s="27">
        <v>12.0</v>
      </c>
      <c r="C30" s="96" t="str">
        <f t="shared" si="8"/>
        <v>RNX</v>
      </c>
      <c r="D30" s="29"/>
      <c r="E30" s="29"/>
      <c r="F30" s="50">
        <f t="shared" si="9"/>
        <v>0</v>
      </c>
      <c r="G30" s="1"/>
      <c r="H30" s="27">
        <v>12.0</v>
      </c>
      <c r="I30" s="32" t="str">
        <f t="shared" si="10"/>
        <v>RNX</v>
      </c>
      <c r="J30" s="29"/>
      <c r="K30" s="29"/>
      <c r="L30" s="14">
        <f t="shared" si="11"/>
        <v>0</v>
      </c>
      <c r="M30" s="1"/>
      <c r="N30" s="153">
        <v>12.0</v>
      </c>
      <c r="O30" s="150" t="s">
        <v>308</v>
      </c>
      <c r="P30" s="12">
        <f t="shared" si="12"/>
        <v>0</v>
      </c>
      <c r="Q30" s="52">
        <f t="shared" si="13"/>
        <v>4</v>
      </c>
      <c r="R30" s="53">
        <f t="shared" si="14"/>
        <v>19</v>
      </c>
      <c r="S30" s="53">
        <f t="shared" si="17"/>
        <v>20</v>
      </c>
      <c r="T30" s="99">
        <f t="shared" si="16"/>
        <v>39</v>
      </c>
      <c r="U30" s="47"/>
      <c r="V30" s="100">
        <v>12.0</v>
      </c>
      <c r="W30" s="101" t="s">
        <v>305</v>
      </c>
      <c r="X30" s="102">
        <v>0.0</v>
      </c>
      <c r="Y30" s="102">
        <v>4.0</v>
      </c>
      <c r="Z30" s="103">
        <v>1.0</v>
      </c>
      <c r="AA30" s="103">
        <v>3.0</v>
      </c>
      <c r="AB30" s="104">
        <v>4.0</v>
      </c>
      <c r="AC30" s="105"/>
      <c r="AD30" s="16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06"/>
      <c r="V31" s="107"/>
      <c r="W31" s="108"/>
      <c r="X31" s="108"/>
      <c r="Y31" s="108"/>
      <c r="Z31" s="108"/>
      <c r="AA31" s="108"/>
      <c r="AB31" s="108"/>
      <c r="AC31" s="105"/>
      <c r="AD31" s="1"/>
    </row>
    <row r="32">
      <c r="A32" s="1"/>
      <c r="B32" s="5"/>
      <c r="C32" s="5"/>
      <c r="D32" s="5"/>
      <c r="E32" s="5"/>
      <c r="F32" s="16"/>
      <c r="G32" s="1"/>
      <c r="H32" s="109"/>
      <c r="I32" s="109"/>
      <c r="J32" s="109"/>
      <c r="K32" s="109"/>
      <c r="L32" s="109"/>
      <c r="M32" s="1"/>
      <c r="N32" s="1"/>
      <c r="O32" s="1"/>
      <c r="P32" s="9"/>
      <c r="Q32" s="9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1"/>
      <c r="B33" s="9"/>
      <c r="C33" s="9" t="s">
        <v>45</v>
      </c>
      <c r="D33" s="9"/>
      <c r="E33" s="9"/>
      <c r="F33" s="9"/>
      <c r="G33" s="110"/>
      <c r="H33" s="9"/>
      <c r="I33" s="9"/>
      <c r="J33" s="9"/>
      <c r="K33" s="9"/>
      <c r="L33" s="9"/>
      <c r="M33" s="110"/>
      <c r="N33" s="1"/>
      <c r="O33" s="1"/>
      <c r="P33" s="9"/>
      <c r="Q33" s="9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1"/>
      <c r="B34" s="9" t="s">
        <v>0</v>
      </c>
      <c r="C34" s="9">
        <f t="shared" ref="C34:C45" si="18">IFS(D4=0,0,D4=1,12,D4=2,9,D4=3,8,D4=4,7,D4=5,6,D4=6,5,D4=7,4,D4=8,3,D4=9,2,D4=10,1,D4=11,0,D4=12,0,D4=0,0)</f>
        <v>0</v>
      </c>
      <c r="D34" s="9" t="s">
        <v>1</v>
      </c>
      <c r="E34" s="9">
        <f t="shared" ref="E34:E45" si="19">IFS(J4=0,0,J4=1,12,J4=2,9,J4=3,8,J4=4,7,J4=5,6,J4=6,5,J4=7,4,J4=8,3,J4=9,2,J4=10,1,J4=11,0,J4=12,0,J4=0,0)</f>
        <v>0</v>
      </c>
      <c r="F34" s="9" t="s">
        <v>2</v>
      </c>
      <c r="G34" s="110">
        <f t="shared" ref="G34:G45" si="20">IFS(P4=0,0,P4=1,12,P4=2,9,P4=3,8,P4=4,7,P4=5,6,P4=6,5,P4=7,4,P4=8,3,P4=9,2,P4=10,1,P4=11,0,P4=12,0,P4=0,0)</f>
        <v>3</v>
      </c>
      <c r="H34" s="9" t="s">
        <v>3</v>
      </c>
      <c r="I34" s="110">
        <f t="shared" ref="I34:I45" si="21">IFS(W4=0,0,W4=1,12,W4=2,9,W4=3,8,W4=4,7,W4=5,6,W4=6,5,W4=7,4,W4=8,3,W4=9,2,W4=10,1,W4=11,0,W4=12,0,W4=0,0)</f>
        <v>2</v>
      </c>
      <c r="J34" s="9" t="s">
        <v>23</v>
      </c>
      <c r="K34" s="110">
        <f t="shared" ref="K34:K45" si="22">IFS(D19=0,0,D19=1,12,D19=2,9,D19=3,8,D19=4,7,D19=5,6,D19=6,5,D19=7,4,D19=8,3,D19=9,2,D19=10,1,D19=11,0,D19=12,0,D19=0,0)</f>
        <v>0</v>
      </c>
      <c r="L34" s="9" t="s">
        <v>24</v>
      </c>
      <c r="M34" s="110">
        <f t="shared" ref="M34:M45" si="23">IFS(J19=0,0,J19=1,12,J19=2,9,J19=3,8,J19=4,7,J19=5,6,J19=6,5,J19=7,4,J19=8,3,J19=9,2,J19=10,1,J19=11,0,J19=12,0,J19=0,0)</f>
        <v>0</v>
      </c>
      <c r="N34" s="1"/>
      <c r="O34" s="1"/>
      <c r="P34" s="9"/>
      <c r="Q34" s="9"/>
      <c r="R34" s="1"/>
      <c r="S34" s="1"/>
      <c r="T34" s="1"/>
      <c r="U34" s="5"/>
      <c r="V34" s="5"/>
      <c r="W34" s="5"/>
      <c r="X34" s="1"/>
      <c r="Y34" s="1"/>
      <c r="Z34" s="1"/>
      <c r="AA34" s="1"/>
      <c r="AB34" s="1"/>
      <c r="AC34" s="1"/>
      <c r="AD34" s="1"/>
    </row>
    <row r="35">
      <c r="A35" s="1"/>
      <c r="B35" s="110"/>
      <c r="C35" s="9">
        <f t="shared" si="18"/>
        <v>9</v>
      </c>
      <c r="D35" s="9"/>
      <c r="E35" s="9">
        <f t="shared" si="19"/>
        <v>6</v>
      </c>
      <c r="F35" s="110"/>
      <c r="G35" s="110">
        <f t="shared" si="20"/>
        <v>2</v>
      </c>
      <c r="H35" s="110"/>
      <c r="I35" s="110">
        <f t="shared" si="21"/>
        <v>3</v>
      </c>
      <c r="J35" s="110"/>
      <c r="K35" s="110">
        <f t="shared" si="22"/>
        <v>0</v>
      </c>
      <c r="L35" s="110"/>
      <c r="M35" s="110">
        <f t="shared" si="23"/>
        <v>0</v>
      </c>
      <c r="N35" s="1"/>
      <c r="O35" s="1"/>
      <c r="P35" s="9"/>
      <c r="Q35" s="9"/>
      <c r="R35" s="1"/>
      <c r="S35" s="1"/>
      <c r="T35" s="1"/>
      <c r="U35" s="5"/>
      <c r="V35" s="5"/>
      <c r="W35" s="5"/>
      <c r="X35" s="1"/>
      <c r="Y35" s="1"/>
      <c r="Z35" s="1"/>
      <c r="AA35" s="1"/>
      <c r="AB35" s="1"/>
      <c r="AC35" s="1"/>
      <c r="AD35" s="1"/>
    </row>
    <row r="36">
      <c r="A36" s="1"/>
      <c r="B36" s="110"/>
      <c r="C36" s="9">
        <f t="shared" si="18"/>
        <v>4</v>
      </c>
      <c r="D36" s="9"/>
      <c r="E36" s="9">
        <f t="shared" si="19"/>
        <v>0</v>
      </c>
      <c r="F36" s="110"/>
      <c r="G36" s="110">
        <f t="shared" si="20"/>
        <v>0</v>
      </c>
      <c r="H36" s="110"/>
      <c r="I36" s="110">
        <f t="shared" si="21"/>
        <v>5</v>
      </c>
      <c r="J36" s="110"/>
      <c r="K36" s="110">
        <f t="shared" si="22"/>
        <v>0</v>
      </c>
      <c r="L36" s="110"/>
      <c r="M36" s="110">
        <f t="shared" si="23"/>
        <v>0</v>
      </c>
      <c r="N36" s="1"/>
      <c r="O36" s="1"/>
      <c r="P36" s="9"/>
      <c r="Q36" s="9"/>
      <c r="R36" s="1"/>
      <c r="S36" s="1"/>
      <c r="T36" s="1"/>
      <c r="U36" s="5"/>
      <c r="V36" s="5"/>
      <c r="W36" s="5"/>
      <c r="X36" s="1"/>
      <c r="Y36" s="1"/>
      <c r="Z36" s="1"/>
      <c r="AA36" s="1"/>
      <c r="AB36" s="1"/>
      <c r="AC36" s="1"/>
      <c r="AD36" s="1"/>
    </row>
    <row r="37">
      <c r="A37" s="1"/>
      <c r="B37" s="110"/>
      <c r="C37" s="9">
        <f t="shared" si="18"/>
        <v>0</v>
      </c>
      <c r="D37" s="9"/>
      <c r="E37" s="9">
        <f t="shared" si="19"/>
        <v>0</v>
      </c>
      <c r="F37" s="110"/>
      <c r="G37" s="110">
        <f t="shared" si="20"/>
        <v>12</v>
      </c>
      <c r="H37" s="110"/>
      <c r="I37" s="110">
        <f t="shared" si="21"/>
        <v>0</v>
      </c>
      <c r="J37" s="110"/>
      <c r="K37" s="110">
        <f t="shared" si="22"/>
        <v>0</v>
      </c>
      <c r="L37" s="110"/>
      <c r="M37" s="110">
        <f t="shared" si="23"/>
        <v>0</v>
      </c>
      <c r="N37" s="1"/>
      <c r="O37" s="1"/>
      <c r="P37" s="9"/>
      <c r="Q37" s="9"/>
      <c r="R37" s="1"/>
      <c r="S37" s="1"/>
      <c r="T37" s="1"/>
      <c r="U37" s="5"/>
      <c r="V37" s="5"/>
      <c r="W37" s="13"/>
      <c r="X37" s="1"/>
      <c r="Y37" s="1"/>
      <c r="Z37" s="1"/>
      <c r="AA37" s="1"/>
      <c r="AB37" s="1"/>
      <c r="AC37" s="1"/>
      <c r="AD37" s="1"/>
    </row>
    <row r="38">
      <c r="A38" s="1"/>
      <c r="B38" s="110"/>
      <c r="C38" s="9">
        <f t="shared" si="18"/>
        <v>5</v>
      </c>
      <c r="D38" s="9"/>
      <c r="E38" s="9">
        <f t="shared" si="19"/>
        <v>7</v>
      </c>
      <c r="F38" s="110"/>
      <c r="G38" s="110">
        <f t="shared" si="20"/>
        <v>4</v>
      </c>
      <c r="H38" s="110"/>
      <c r="I38" s="110">
        <f t="shared" si="21"/>
        <v>7</v>
      </c>
      <c r="J38" s="110"/>
      <c r="K38" s="110">
        <f t="shared" si="22"/>
        <v>0</v>
      </c>
      <c r="L38" s="110"/>
      <c r="M38" s="110">
        <f t="shared" si="23"/>
        <v>0</v>
      </c>
      <c r="N38" s="1"/>
      <c r="O38" s="1"/>
      <c r="P38" s="9"/>
      <c r="Q38" s="9"/>
      <c r="R38" s="1"/>
      <c r="S38" s="1"/>
      <c r="T38" s="1"/>
      <c r="U38" s="5"/>
      <c r="V38" s="5"/>
      <c r="W38" s="5"/>
      <c r="X38" s="1"/>
      <c r="Y38" s="1"/>
      <c r="Z38" s="1"/>
      <c r="AA38" s="1"/>
      <c r="AB38" s="1"/>
      <c r="AC38" s="1"/>
      <c r="AD38" s="1"/>
    </row>
    <row r="39">
      <c r="A39" s="1"/>
      <c r="B39" s="110"/>
      <c r="C39" s="9">
        <f t="shared" si="18"/>
        <v>12</v>
      </c>
      <c r="D39" s="9"/>
      <c r="E39" s="9">
        <f t="shared" si="19"/>
        <v>2</v>
      </c>
      <c r="F39" s="110"/>
      <c r="G39" s="110">
        <f t="shared" si="20"/>
        <v>6</v>
      </c>
      <c r="H39" s="110"/>
      <c r="I39" s="110">
        <f t="shared" si="21"/>
        <v>0</v>
      </c>
      <c r="J39" s="110"/>
      <c r="K39" s="110">
        <f t="shared" si="22"/>
        <v>0</v>
      </c>
      <c r="L39" s="110"/>
      <c r="M39" s="110">
        <f t="shared" si="23"/>
        <v>0</v>
      </c>
      <c r="N39" s="1"/>
      <c r="O39" s="1"/>
      <c r="P39" s="9"/>
      <c r="Q39" s="9"/>
      <c r="R39" s="1"/>
      <c r="S39" s="1"/>
      <c r="T39" s="1"/>
      <c r="U39" s="5"/>
      <c r="V39" s="5"/>
      <c r="W39" s="5"/>
      <c r="X39" s="5"/>
      <c r="Y39" s="1"/>
      <c r="Z39" s="1"/>
      <c r="AA39" s="1"/>
      <c r="AB39" s="1"/>
      <c r="AC39" s="1"/>
      <c r="AD39" s="1"/>
    </row>
    <row r="40">
      <c r="A40" s="1"/>
      <c r="B40" s="110"/>
      <c r="C40" s="9">
        <f t="shared" si="18"/>
        <v>8</v>
      </c>
      <c r="D40" s="9"/>
      <c r="E40" s="9">
        <f t="shared" si="19"/>
        <v>4</v>
      </c>
      <c r="F40" s="110"/>
      <c r="G40" s="110">
        <f t="shared" si="20"/>
        <v>5</v>
      </c>
      <c r="H40" s="110"/>
      <c r="I40" s="110">
        <f t="shared" si="21"/>
        <v>5</v>
      </c>
      <c r="J40" s="110"/>
      <c r="K40" s="110">
        <f t="shared" si="22"/>
        <v>0</v>
      </c>
      <c r="L40" s="110"/>
      <c r="M40" s="110">
        <f t="shared" si="23"/>
        <v>0</v>
      </c>
      <c r="N40" s="1"/>
      <c r="O40" s="1"/>
      <c r="P40" s="9"/>
      <c r="Q40" s="9"/>
      <c r="R40" s="1"/>
      <c r="S40" s="1"/>
      <c r="T40" s="1"/>
      <c r="U40" s="5"/>
      <c r="V40" s="5"/>
      <c r="W40" s="5"/>
      <c r="X40" s="5"/>
      <c r="Y40" s="1"/>
      <c r="Z40" s="1"/>
      <c r="AA40" s="1"/>
      <c r="AB40" s="1"/>
      <c r="AC40" s="1"/>
      <c r="AD40" s="1"/>
    </row>
    <row r="41">
      <c r="A41" s="1"/>
      <c r="B41" s="110"/>
      <c r="C41" s="9">
        <f t="shared" si="18"/>
        <v>2</v>
      </c>
      <c r="D41" s="9"/>
      <c r="E41" s="9">
        <f t="shared" si="19"/>
        <v>8</v>
      </c>
      <c r="F41" s="110"/>
      <c r="G41" s="110">
        <f t="shared" si="20"/>
        <v>7</v>
      </c>
      <c r="H41" s="110"/>
      <c r="I41" s="110">
        <f t="shared" si="21"/>
        <v>0</v>
      </c>
      <c r="J41" s="110"/>
      <c r="K41" s="110">
        <f t="shared" si="22"/>
        <v>0</v>
      </c>
      <c r="L41" s="110"/>
      <c r="M41" s="110">
        <f t="shared" si="23"/>
        <v>0</v>
      </c>
      <c r="N41" s="1"/>
      <c r="O41" s="1"/>
      <c r="P41" s="9"/>
      <c r="Q41" s="9"/>
      <c r="R41" s="1"/>
      <c r="S41" s="1"/>
      <c r="T41" s="1"/>
      <c r="U41" s="5"/>
      <c r="V41" s="154"/>
      <c r="W41" s="5"/>
      <c r="X41" s="5"/>
      <c r="Y41" s="1"/>
      <c r="Z41" s="1"/>
      <c r="AA41" s="1"/>
      <c r="AB41" s="1"/>
      <c r="AC41" s="1"/>
      <c r="AD41" s="1"/>
    </row>
    <row r="42">
      <c r="A42" s="1"/>
      <c r="B42" s="110"/>
      <c r="C42" s="9">
        <f t="shared" si="18"/>
        <v>0</v>
      </c>
      <c r="D42" s="9"/>
      <c r="E42" s="9">
        <f t="shared" si="19"/>
        <v>9</v>
      </c>
      <c r="F42" s="110"/>
      <c r="G42" s="110">
        <f t="shared" si="20"/>
        <v>9</v>
      </c>
      <c r="H42" s="110"/>
      <c r="I42" s="110">
        <f t="shared" si="21"/>
        <v>6</v>
      </c>
      <c r="J42" s="110"/>
      <c r="K42" s="110">
        <f t="shared" si="22"/>
        <v>0</v>
      </c>
      <c r="L42" s="110"/>
      <c r="M42" s="110">
        <f t="shared" si="23"/>
        <v>0</v>
      </c>
      <c r="N42" s="1"/>
      <c r="O42" s="1"/>
      <c r="P42" s="9"/>
      <c r="Q42" s="9"/>
      <c r="R42" s="1"/>
      <c r="S42" s="1"/>
      <c r="T42" s="1"/>
      <c r="U42" s="5"/>
      <c r="V42" s="5"/>
      <c r="W42" s="5"/>
      <c r="X42" s="5"/>
      <c r="Y42" s="1"/>
      <c r="Z42" s="1"/>
      <c r="AA42" s="1"/>
      <c r="AB42" s="1"/>
      <c r="AC42" s="1"/>
      <c r="AD42" s="1"/>
    </row>
    <row r="43">
      <c r="A43" s="1"/>
      <c r="B43" s="110"/>
      <c r="C43" s="9">
        <f t="shared" si="18"/>
        <v>7</v>
      </c>
      <c r="D43" s="9"/>
      <c r="E43" s="9">
        <f t="shared" si="19"/>
        <v>5</v>
      </c>
      <c r="F43" s="110"/>
      <c r="G43" s="110">
        <f t="shared" si="20"/>
        <v>8</v>
      </c>
      <c r="H43" s="110"/>
      <c r="I43" s="110">
        <f t="shared" si="21"/>
        <v>4</v>
      </c>
      <c r="J43" s="110"/>
      <c r="K43" s="110">
        <f t="shared" si="22"/>
        <v>0</v>
      </c>
      <c r="L43" s="110"/>
      <c r="M43" s="110">
        <f t="shared" si="23"/>
        <v>0</v>
      </c>
      <c r="N43" s="1"/>
      <c r="O43" s="1"/>
      <c r="P43" s="9"/>
      <c r="Q43" s="9"/>
      <c r="R43" s="1"/>
      <c r="S43" s="1"/>
      <c r="T43" s="1"/>
      <c r="U43" s="5"/>
      <c r="V43" s="5"/>
      <c r="W43" s="5"/>
      <c r="X43" s="5"/>
      <c r="Y43" s="1"/>
      <c r="Z43" s="1"/>
      <c r="AA43" s="1"/>
      <c r="AB43" s="1"/>
      <c r="AC43" s="1"/>
      <c r="AD43" s="1"/>
    </row>
    <row r="44">
      <c r="A44" s="1"/>
      <c r="B44" s="110"/>
      <c r="C44" s="110">
        <f t="shared" si="18"/>
        <v>6</v>
      </c>
      <c r="D44" s="110"/>
      <c r="E44" s="110">
        <f t="shared" si="19"/>
        <v>12</v>
      </c>
      <c r="F44" s="110"/>
      <c r="G44" s="110">
        <f t="shared" si="20"/>
        <v>0</v>
      </c>
      <c r="H44" s="110"/>
      <c r="I44" s="110">
        <f t="shared" si="21"/>
        <v>0</v>
      </c>
      <c r="J44" s="110"/>
      <c r="K44" s="110">
        <f t="shared" si="22"/>
        <v>0</v>
      </c>
      <c r="L44" s="110"/>
      <c r="M44" s="110">
        <f t="shared" si="23"/>
        <v>0</v>
      </c>
      <c r="N44" s="1"/>
      <c r="O44" s="1"/>
      <c r="P44" s="1"/>
      <c r="Q44" s="1"/>
      <c r="R44" s="1"/>
      <c r="S44" s="1"/>
      <c r="T44" s="1"/>
      <c r="U44" s="5"/>
      <c r="V44" s="95"/>
      <c r="W44" s="5"/>
      <c r="X44" s="5"/>
      <c r="Y44" s="1"/>
      <c r="Z44" s="1"/>
      <c r="AA44" s="1"/>
      <c r="AB44" s="1"/>
      <c r="AC44" s="1"/>
      <c r="AD44" s="1"/>
    </row>
    <row r="45">
      <c r="A45" s="1"/>
      <c r="B45" s="110"/>
      <c r="C45" s="110">
        <f t="shared" si="18"/>
        <v>3</v>
      </c>
      <c r="D45" s="110"/>
      <c r="E45" s="110">
        <f t="shared" si="19"/>
        <v>3</v>
      </c>
      <c r="F45" s="110"/>
      <c r="G45" s="110">
        <f t="shared" si="20"/>
        <v>0</v>
      </c>
      <c r="H45" s="110"/>
      <c r="I45" s="110">
        <f t="shared" si="21"/>
        <v>8</v>
      </c>
      <c r="J45" s="110"/>
      <c r="K45" s="110">
        <f t="shared" si="22"/>
        <v>0</v>
      </c>
      <c r="L45" s="110"/>
      <c r="M45" s="110">
        <f t="shared" si="23"/>
        <v>0</v>
      </c>
      <c r="N45" s="1"/>
      <c r="O45" s="1"/>
      <c r="P45" s="1"/>
      <c r="Q45" s="1"/>
      <c r="R45" s="1"/>
      <c r="S45" s="1"/>
      <c r="T45" s="1"/>
      <c r="U45" s="5"/>
      <c r="V45" s="13"/>
      <c r="W45" s="5"/>
      <c r="X45" s="5"/>
      <c r="Y45" s="1"/>
      <c r="Z45" s="1"/>
      <c r="AA45" s="1"/>
      <c r="AB45" s="1"/>
      <c r="AC45" s="1"/>
      <c r="AD45" s="1"/>
    </row>
    <row r="46">
      <c r="A46" s="1"/>
      <c r="B46" s="9" t="s">
        <v>28</v>
      </c>
      <c r="C46" s="110">
        <f t="shared" ref="C46:C57" si="24">COUNTIF(D4,"=12")</f>
        <v>1</v>
      </c>
      <c r="D46" s="110"/>
      <c r="E46" s="110">
        <f t="shared" ref="E46:E57" si="25">COUNTIF(J4,"=12")</f>
        <v>1</v>
      </c>
      <c r="F46" s="110"/>
      <c r="G46" s="110">
        <f t="shared" ref="G46:G58" si="26">COUNTIF(P4,"=12")</f>
        <v>0</v>
      </c>
      <c r="H46" s="110"/>
      <c r="I46" s="110">
        <f t="shared" ref="I46:I57" si="27">COUNTIF(W4,"=12")</f>
        <v>0</v>
      </c>
      <c r="J46" s="110"/>
      <c r="K46" s="110">
        <f t="shared" ref="K46:K57" si="28">COUNTIF(D19,"=12")</f>
        <v>0</v>
      </c>
      <c r="L46" s="110"/>
      <c r="M46" s="110">
        <f t="shared" ref="M46:M57" si="29">COUNTIF(J19,"=12")</f>
        <v>0</v>
      </c>
      <c r="N46" s="1"/>
      <c r="O46" s="1"/>
      <c r="P46" s="1"/>
      <c r="Q46" s="1"/>
      <c r="R46" s="1"/>
      <c r="S46" s="1"/>
      <c r="T46" s="1"/>
      <c r="U46" s="1"/>
      <c r="V46" s="16"/>
      <c r="W46" s="5"/>
      <c r="X46" s="154"/>
      <c r="Y46" s="1"/>
      <c r="Z46" s="1"/>
      <c r="AA46" s="1"/>
      <c r="AB46" s="1"/>
      <c r="AC46" s="1"/>
      <c r="AD46" s="1"/>
    </row>
    <row r="47">
      <c r="A47" s="1"/>
      <c r="B47" s="110"/>
      <c r="C47" s="110">
        <f t="shared" si="24"/>
        <v>0</v>
      </c>
      <c r="D47" s="110"/>
      <c r="E47" s="110">
        <f t="shared" si="25"/>
        <v>0</v>
      </c>
      <c r="F47" s="110"/>
      <c r="G47" s="110">
        <f t="shared" si="26"/>
        <v>0</v>
      </c>
      <c r="H47" s="110"/>
      <c r="I47" s="110">
        <f t="shared" si="27"/>
        <v>0</v>
      </c>
      <c r="J47" s="110"/>
      <c r="K47" s="110">
        <f t="shared" si="28"/>
        <v>0</v>
      </c>
      <c r="L47" s="110"/>
      <c r="M47" s="110">
        <f t="shared" si="29"/>
        <v>0</v>
      </c>
      <c r="N47" s="1"/>
      <c r="O47" s="1"/>
      <c r="P47" s="1"/>
      <c r="Q47" s="1"/>
      <c r="R47" s="1"/>
      <c r="S47" s="1"/>
      <c r="T47" s="1"/>
      <c r="U47" s="1"/>
      <c r="V47" s="16"/>
      <c r="W47" s="5"/>
      <c r="X47" s="5"/>
      <c r="Y47" s="1"/>
      <c r="Z47" s="1"/>
      <c r="AA47" s="1"/>
      <c r="AB47" s="1"/>
      <c r="AC47" s="1"/>
      <c r="AD47" s="1"/>
    </row>
    <row r="48">
      <c r="A48" s="1"/>
      <c r="B48" s="110"/>
      <c r="C48" s="110">
        <f t="shared" si="24"/>
        <v>0</v>
      </c>
      <c r="D48" s="110"/>
      <c r="E48" s="110">
        <f t="shared" si="25"/>
        <v>0</v>
      </c>
      <c r="F48" s="110"/>
      <c r="G48" s="110">
        <f t="shared" si="26"/>
        <v>1</v>
      </c>
      <c r="H48" s="110"/>
      <c r="I48" s="110">
        <f t="shared" si="27"/>
        <v>0</v>
      </c>
      <c r="J48" s="110"/>
      <c r="K48" s="110">
        <f t="shared" si="28"/>
        <v>0</v>
      </c>
      <c r="L48" s="110"/>
      <c r="M48" s="110">
        <f t="shared" si="29"/>
        <v>0</v>
      </c>
      <c r="N48" s="1"/>
      <c r="O48" s="1"/>
      <c r="P48" s="1"/>
      <c r="Q48" s="1"/>
      <c r="R48" s="1"/>
      <c r="S48" s="1"/>
      <c r="T48" s="1"/>
      <c r="U48" s="1"/>
      <c r="V48" s="16"/>
      <c r="W48" s="5"/>
      <c r="X48" s="5"/>
      <c r="Y48" s="1"/>
      <c r="Z48" s="1"/>
      <c r="AA48" s="1"/>
      <c r="AB48" s="1"/>
      <c r="AC48" s="1"/>
      <c r="AD48" s="1"/>
    </row>
    <row r="49">
      <c r="A49" s="1"/>
      <c r="B49" s="110"/>
      <c r="C49" s="110">
        <f t="shared" si="24"/>
        <v>0</v>
      </c>
      <c r="D49" s="110"/>
      <c r="E49" s="110">
        <f t="shared" si="25"/>
        <v>0</v>
      </c>
      <c r="F49" s="110"/>
      <c r="G49" s="110">
        <f t="shared" si="26"/>
        <v>0</v>
      </c>
      <c r="H49" s="110"/>
      <c r="I49" s="110">
        <f t="shared" si="27"/>
        <v>0</v>
      </c>
      <c r="J49" s="110"/>
      <c r="K49" s="110">
        <f t="shared" si="28"/>
        <v>0</v>
      </c>
      <c r="L49" s="110"/>
      <c r="M49" s="110">
        <f t="shared" si="29"/>
        <v>0</v>
      </c>
      <c r="N49" s="1"/>
      <c r="O49" s="1"/>
      <c r="P49" s="1"/>
      <c r="Q49" s="1"/>
      <c r="R49" s="1"/>
      <c r="S49" s="1"/>
      <c r="T49" s="1"/>
      <c r="U49" s="1"/>
      <c r="V49" s="16"/>
      <c r="W49" s="5"/>
      <c r="X49" s="95"/>
      <c r="Y49" s="1"/>
      <c r="Z49" s="1"/>
      <c r="AA49" s="1"/>
      <c r="AB49" s="1"/>
      <c r="AC49" s="1"/>
      <c r="AD49" s="1"/>
    </row>
    <row r="50">
      <c r="A50" s="1"/>
      <c r="B50" s="110"/>
      <c r="C50" s="110">
        <f t="shared" si="24"/>
        <v>0</v>
      </c>
      <c r="D50" s="110"/>
      <c r="E50" s="110">
        <f t="shared" si="25"/>
        <v>0</v>
      </c>
      <c r="F50" s="110"/>
      <c r="G50" s="110">
        <f t="shared" si="26"/>
        <v>0</v>
      </c>
      <c r="H50" s="110"/>
      <c r="I50" s="110">
        <f t="shared" si="27"/>
        <v>0</v>
      </c>
      <c r="J50" s="110"/>
      <c r="K50" s="110">
        <f t="shared" si="28"/>
        <v>0</v>
      </c>
      <c r="L50" s="110"/>
      <c r="M50" s="110">
        <f t="shared" si="29"/>
        <v>0</v>
      </c>
      <c r="N50" s="1"/>
      <c r="O50" s="1"/>
      <c r="P50" s="1"/>
      <c r="Q50" s="1"/>
      <c r="R50" s="1"/>
      <c r="S50" s="1"/>
      <c r="T50" s="1"/>
      <c r="U50" s="1"/>
      <c r="V50" s="16"/>
      <c r="W50" s="5"/>
      <c r="X50" s="13"/>
      <c r="Y50" s="1"/>
      <c r="Z50" s="1"/>
      <c r="AA50" s="1"/>
      <c r="AB50" s="1"/>
      <c r="AC50" s="1"/>
      <c r="AD50" s="1"/>
    </row>
    <row r="51">
      <c r="A51" s="1"/>
      <c r="B51" s="110"/>
      <c r="C51" s="110">
        <f t="shared" si="24"/>
        <v>0</v>
      </c>
      <c r="D51" s="110"/>
      <c r="E51" s="110">
        <f t="shared" si="25"/>
        <v>0</v>
      </c>
      <c r="F51" s="110"/>
      <c r="G51" s="110">
        <f t="shared" si="26"/>
        <v>0</v>
      </c>
      <c r="H51" s="110"/>
      <c r="I51" s="110">
        <f t="shared" si="27"/>
        <v>1</v>
      </c>
      <c r="J51" s="110"/>
      <c r="K51" s="110">
        <f t="shared" si="28"/>
        <v>0</v>
      </c>
      <c r="L51" s="110"/>
      <c r="M51" s="110">
        <f t="shared" si="29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110"/>
      <c r="C52" s="110">
        <f t="shared" si="24"/>
        <v>0</v>
      </c>
      <c r="D52" s="110"/>
      <c r="E52" s="110">
        <f t="shared" si="25"/>
        <v>0</v>
      </c>
      <c r="F52" s="110"/>
      <c r="G52" s="110">
        <f t="shared" si="26"/>
        <v>0</v>
      </c>
      <c r="H52" s="110"/>
      <c r="I52" s="110">
        <f t="shared" si="27"/>
        <v>0</v>
      </c>
      <c r="J52" s="110"/>
      <c r="K52" s="110">
        <f t="shared" si="28"/>
        <v>0</v>
      </c>
      <c r="L52" s="110"/>
      <c r="M52" s="110">
        <f t="shared" si="29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110"/>
      <c r="C53" s="110">
        <f t="shared" si="24"/>
        <v>0</v>
      </c>
      <c r="D53" s="110"/>
      <c r="E53" s="110">
        <f t="shared" si="25"/>
        <v>0</v>
      </c>
      <c r="F53" s="110"/>
      <c r="G53" s="110">
        <f t="shared" si="26"/>
        <v>0</v>
      </c>
      <c r="H53" s="110"/>
      <c r="I53" s="110">
        <f t="shared" si="27"/>
        <v>0</v>
      </c>
      <c r="J53" s="110"/>
      <c r="K53" s="110">
        <f t="shared" si="28"/>
        <v>0</v>
      </c>
      <c r="L53" s="110"/>
      <c r="M53" s="110">
        <f t="shared" si="29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/>
      <c r="B54" s="110"/>
      <c r="C54" s="110">
        <f t="shared" si="24"/>
        <v>0</v>
      </c>
      <c r="D54" s="110"/>
      <c r="E54" s="110">
        <f t="shared" si="25"/>
        <v>0</v>
      </c>
      <c r="F54" s="110"/>
      <c r="G54" s="110">
        <f t="shared" si="26"/>
        <v>0</v>
      </c>
      <c r="H54" s="110"/>
      <c r="I54" s="110">
        <f t="shared" si="27"/>
        <v>0</v>
      </c>
      <c r="J54" s="110"/>
      <c r="K54" s="110">
        <f t="shared" si="28"/>
        <v>0</v>
      </c>
      <c r="L54" s="110"/>
      <c r="M54" s="110">
        <f t="shared" si="29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"/>
      <c r="B55" s="110"/>
      <c r="C55" s="110">
        <f t="shared" si="24"/>
        <v>0</v>
      </c>
      <c r="D55" s="110"/>
      <c r="E55" s="110">
        <f t="shared" si="25"/>
        <v>0</v>
      </c>
      <c r="F55" s="110"/>
      <c r="G55" s="110">
        <f t="shared" si="26"/>
        <v>0</v>
      </c>
      <c r="H55" s="110"/>
      <c r="I55" s="110">
        <f t="shared" si="27"/>
        <v>0</v>
      </c>
      <c r="J55" s="110"/>
      <c r="K55" s="110">
        <f t="shared" si="28"/>
        <v>0</v>
      </c>
      <c r="L55" s="110"/>
      <c r="M55" s="110">
        <f t="shared" si="29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/>
      <c r="B56" s="110"/>
      <c r="C56" s="110">
        <f t="shared" si="24"/>
        <v>0</v>
      </c>
      <c r="D56" s="110"/>
      <c r="E56" s="110">
        <f t="shared" si="25"/>
        <v>0</v>
      </c>
      <c r="F56" s="110"/>
      <c r="G56" s="110">
        <f t="shared" si="26"/>
        <v>0</v>
      </c>
      <c r="H56" s="110"/>
      <c r="I56" s="110">
        <f t="shared" si="27"/>
        <v>0</v>
      </c>
      <c r="J56" s="110"/>
      <c r="K56" s="110">
        <f t="shared" si="28"/>
        <v>0</v>
      </c>
      <c r="L56" s="110"/>
      <c r="M56" s="110">
        <f t="shared" si="29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110"/>
      <c r="C57" s="110">
        <f t="shared" si="24"/>
        <v>0</v>
      </c>
      <c r="D57" s="110"/>
      <c r="E57" s="110">
        <f t="shared" si="25"/>
        <v>0</v>
      </c>
      <c r="F57" s="110"/>
      <c r="G57" s="110">
        <f t="shared" si="26"/>
        <v>0</v>
      </c>
      <c r="H57" s="110"/>
      <c r="I57" s="110">
        <f t="shared" si="27"/>
        <v>0</v>
      </c>
      <c r="J57" s="110"/>
      <c r="K57" s="110">
        <f t="shared" si="28"/>
        <v>0</v>
      </c>
      <c r="L57" s="110"/>
      <c r="M57" s="110">
        <f t="shared" si="29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/>
      <c r="B58" s="1"/>
      <c r="C58" s="1"/>
      <c r="D58" s="1"/>
      <c r="E58" s="1"/>
      <c r="F58" s="1"/>
      <c r="G58" s="1">
        <f t="shared" si="26"/>
        <v>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</sheetData>
  <mergeCells count="12">
    <mergeCell ref="N17:T17"/>
    <mergeCell ref="U17:U31"/>
    <mergeCell ref="AC17:AC30"/>
    <mergeCell ref="V31:AC31"/>
    <mergeCell ref="B2:F2"/>
    <mergeCell ref="H2:L2"/>
    <mergeCell ref="N2:R2"/>
    <mergeCell ref="U2:Y2"/>
    <mergeCell ref="U16:AC16"/>
    <mergeCell ref="B17:F17"/>
    <mergeCell ref="H17:L17"/>
    <mergeCell ref="V17:AB17"/>
  </mergeCells>
  <drawing r:id="rId1"/>
</worksheet>
</file>